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trumars2\Downloads\"/>
    </mc:Choice>
  </mc:AlternateContent>
  <xr:revisionPtr revIDLastSave="0" documentId="13_ncr:1_{BC089D8B-EB74-4DB7-AE4F-95265891EA3A}" xr6:coauthVersionLast="47" xr6:coauthVersionMax="47" xr10:uidLastSave="{00000000-0000-0000-0000-000000000000}"/>
  <bookViews>
    <workbookView xWindow="-108" yWindow="-108" windowWidth="23256" windowHeight="13896" firstSheet="3" activeTab="5" xr2:uid="{00000000-000D-0000-FFFF-FFFF00000000}"/>
  </bookViews>
  <sheets>
    <sheet name="1.Hammadde ve Şarj Özellikleri" sheetId="2" r:id="rId1"/>
    <sheet name="2.Elektriksel Parametreler" sheetId="3" r:id="rId2"/>
    <sheet name="3.Termal Kayıplar ve Soğutma" sheetId="4" r:id="rId3"/>
    <sheet name="4.Cüruf, Metal Banyosu" sheetId="5" r:id="rId4"/>
    <sheet name="5.Fırın Tasarımı ve İşletme" sheetId="7" r:id="rId5"/>
    <sheet name="6.Operasyonel Veriler&amp;Zamanlama" sheetId="8"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2" l="1" a="1"/>
  <c r="B15" i="2"/>
  <c r="B16" i="2" a="1"/>
  <c r="B16" i="2"/>
  <c r="B17" i="2" a="1"/>
  <c r="B17" i="2"/>
  <c r="B18" i="2" a="1"/>
  <c r="B18" i="2" s="1"/>
  <c r="B19" i="2" a="1"/>
  <c r="B19" i="2"/>
  <c r="B20" i="2" a="1"/>
  <c r="B20" i="2" s="1"/>
  <c r="B21" i="2" a="1"/>
  <c r="B21" i="2"/>
  <c r="B22" i="2" a="1"/>
  <c r="B22" i="2" s="1"/>
  <c r="B23" i="2" a="1"/>
  <c r="B23" i="2" s="1"/>
  <c r="B24" i="2" a="1"/>
  <c r="B24" i="2" s="1"/>
  <c r="B25" i="2" a="1"/>
  <c r="B25"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<sst xmlns="http://schemas.openxmlformats.org/spreadsheetml/2006/main" count="371" uniqueCount="308">
  <si>
    <t>Değişken</t>
  </si>
  <si>
    <t>Veri Kaynağı</t>
  </si>
  <si>
    <t>Kayıt Aralığı</t>
  </si>
  <si>
    <t>Cevher Cr₂O₃ içeriği</t>
  </si>
  <si>
    <t>Cr/Fe oranı</t>
  </si>
  <si>
    <t>DC akım (I_DC)</t>
  </si>
  <si>
    <t>DC gerilim (U_DC)</t>
  </si>
  <si>
    <t>Aktif güç (P)</t>
  </si>
  <si>
    <t>Reaktif güç (Q)</t>
  </si>
  <si>
    <t>Panel su çıkış sıcaklığı (T_out)</t>
  </si>
  <si>
    <t>Off-gas sıcaklığı</t>
  </si>
  <si>
    <t>Slag-to-metal oranı</t>
  </si>
  <si>
    <t>Tap-to-tap süresi</t>
  </si>
  <si>
    <t>%</t>
  </si>
  <si>
    <t>kA</t>
  </si>
  <si>
    <t>V</t>
  </si>
  <si>
    <t>MW</t>
  </si>
  <si>
    <t>MVAr</t>
  </si>
  <si>
    <t>°C</t>
  </si>
  <si>
    <t>dk</t>
  </si>
  <si>
    <t>PLC (L1/L2)</t>
  </si>
  <si>
    <t>PLC (L2)</t>
  </si>
  <si>
    <t>1 dk</t>
  </si>
  <si>
    <t>Her tapping</t>
  </si>
  <si>
    <t>Event bazlı</t>
  </si>
  <si>
    <t>Her şarj</t>
  </si>
  <si>
    <t>Açıklama</t>
  </si>
  <si>
    <t>Cevherdeki toplam krom oksit (Cr₂O₃) yüzdesi</t>
  </si>
  <si>
    <t>Cevherin tenörü düşükse (Cr₂O₃ % az), daha fazla gang kütlesi ergitilir → birim metal başına daha fazla enerji tüketimi. Örneğin, zengin aglomere/pelet kullanımı güç tüketimini düşürür.</t>
  </si>
  <si>
    <t>Lab (kimyasal analiz)</t>
  </si>
  <si>
    <t>Her şarj partisi veya günlük</t>
  </si>
  <si>
    <t>Cevher FeO/Fe₂O₃ içeriği</t>
  </si>
  <si>
    <t>Cevherdeki toplam demir oksit miktarı</t>
  </si>
  <si>
    <t>Yüksek Fe oksit içeriği, indirgeme reaksiyonlarında daha fazla demirin metale geçmesini sağlar. Demirin indirgenmesi kromun indirgenmesine kıyasla daha düşük enerji gerektirir; dolayısıyla düşük Cr/Fe oranlı (FeO zengin) cevher, birim alaşım başına enerji ihtiyacını bir nebze azaltabilir. Ancak Fe oksit indirgemesi de endotermik olup ekstra karbon gerektirir (Fe₂O₃ + 3C → 2Fe + 3CO, ΔH≈118 kJ/mol).</t>
  </si>
  <si>
    <t>Gang mineralleri (SiO₂, MgO, Al₂O₃, vs.)</t>
  </si>
  <si>
    <t>Cevherdeki asal olmayan bileşenler (gang)</t>
  </si>
  <si>
    <t>% (her bir oksit)</t>
  </si>
  <si>
    <t>Cevherin krom/demir oranı (örneğin 1.5 veya 4)</t>
  </si>
  <si>
    <t>–</t>
  </si>
  <si>
    <t>Düşük Cr/Fe oranı (daha fazla Fe) genellikle cevherin tenörünün düşük olduğunu gösterir, fakat aynı zamanda daha fazla metalik demir üretileceği için, birim FeCr alaşımı başına gereken enerji kısmen düşebilir. Yüksek Cr/Fe oranlı (demir fakir) cevher ise bir ton FeCr için daha fazla krom oksit indirgemeyi gerektirir, bu da daha yüksek enerji harcamasına yol açar. Ayrıca Cr/Fe oranı cüruf/metalik verimini de etkiler: demirce zengin cevherde daha az cüruf çıkar.</t>
  </si>
  <si>
    <t>Her yeni cevher partisi</t>
  </si>
  <si>
    <t>Nem (Moisture)</t>
  </si>
  <si>
    <t>Şarja giren cevherin ve diğer malzemelerin nem oranı</t>
  </si>
  <si>
    <t>% (ağırlıkça)</t>
  </si>
  <si>
    <t>Lab (kurutma testi) / Online nem ölçer</t>
  </si>
  <si>
    <t>Her şarj partisi</t>
  </si>
  <si>
    <t>Tane boyutu dağılımı</t>
  </si>
  <si>
    <t>Cevher ve diğer katı şarj malzemelerinin boyut dağılımı (örn. % -6 mm, % -1 mm)</t>
  </si>
  <si>
    <t>% (boyut fraksiyonları)</t>
  </si>
  <si>
    <t>Lab (elek analizi)</t>
  </si>
  <si>
    <t>Her yeni parti / haftalık</t>
  </si>
  <si>
    <t>Ön ısıtma sıcaklığı</t>
  </si>
  <si>
    <t>Sürekli ölçüm (preheater çıkışı sıcaklık sensörü)</t>
  </si>
  <si>
    <t>1 dakikalık ortalama</t>
  </si>
  <si>
    <t>Ön indirgeme derecesi</t>
  </si>
  <si>
    <t>% (metalizasyon)</t>
  </si>
  <si>
    <t>Lab (ön indirgenmiş malzeme analizi) / Proses modeli</t>
  </si>
  <si>
    <t>Her şarj partisi için ortalama</t>
  </si>
  <si>
    <t>Şarja verilen toplam sabit karbonun (redüktanların) cevher miktarına oranı</t>
  </si>
  <si>
    <t>(kg C) / (kg cevher)</t>
  </si>
  <si>
    <t>Hesaplama (şarj reçetesinden)</t>
  </si>
  <si>
    <t>Redüktan tipi</t>
  </si>
  <si>
    <t>Kullanılan karbonlu indirgeme maddesi türü (kok, antrasit, kömür, biyokömür vb.)</t>
  </si>
  <si>
    <t>Satınalma bilgisi / Lab (analiz)</t>
  </si>
  <si>
    <t>Her yeni parti için sabit</t>
  </si>
  <si>
    <t>Flux (katkı) miktarları</t>
  </si>
  <si>
    <t>Şarja eklenen kireçtaşı, dolomit, kuvarsit vb. akıların dozajları (oran veya kg)</t>
  </si>
  <si>
    <t>kg / ton FeCr</t>
  </si>
  <si>
    <t>Reçete / Tartım sistemi</t>
  </si>
  <si>
    <t>Her şarj partisi (kova bazında)</t>
  </si>
  <si>
    <t>1 sn veya 10 sn aralıkla</t>
  </si>
  <si>
    <t>1 sn veya 10 sn</t>
  </si>
  <si>
    <t>PLC (L2 verisi)</t>
  </si>
  <si>
    <t>1 sn veya 1 dk (trend)</t>
  </si>
  <si>
    <t>1 sn veya 1 dk</t>
  </si>
  <si>
    <t>Güç faktörü (cos φ)</t>
  </si>
  <si>
    <t>Aktif gücün görünür güce oranı (kalite faktörü)</t>
  </si>
  <si>
    <t>Güç yoğunluğu</t>
  </si>
  <si>
    <t>kW/m²</t>
  </si>
  <si>
    <t>Hesap (P / taban alanı)</t>
  </si>
  <si>
    <t>Her heat (ortalama)</t>
  </si>
  <si>
    <t>Ark uzunluğu / İmpedans</t>
  </si>
  <si>
    <t>Ark boyunu ayarlayan set değeri (örn. voltaj veya ohm olarak)</t>
  </si>
  <si>
    <t>V veya Ω</t>
  </si>
  <si>
    <t>PLC (operatör set değeri)</t>
  </si>
  <si>
    <t>Ark stabilitesi</t>
  </si>
  <si>
    <t>Ark gerilim/akım dalgalanmalarının ölçüleri (örn. flicker indeksi)</t>
  </si>
  <si>
    <t>PLC (L2 trend)</t>
  </si>
  <si>
    <t>1 sn (istatistik) / Heat bazlı</t>
  </si>
  <si>
    <t>Bir heat’in başlangıcından sonraki aynı elektrotun tekrar tap edilmesine kadarki süre (eritme döngüsü)</t>
  </si>
  <si>
    <t>dakika</t>
  </si>
  <si>
    <t>PLC (L2, ısı takip)</t>
  </si>
  <si>
    <t>Her heat için kayıt</t>
  </si>
  <si>
    <t>Power-on süresi</t>
  </si>
  <si>
    <t>PLC (olay kayıtları)</t>
  </si>
  <si>
    <t>Her kesinti olayı için</t>
  </si>
  <si>
    <r>
      <t>Toplam C/cevher oranı</t>
    </r>
    <r>
      <rPr>
        <sz val="10"/>
        <color theme="1"/>
        <rFont val="ABBvoice"/>
        <family val="2"/>
      </rPr>
      <t xml:space="preserve"> (RC)</t>
    </r>
  </si>
  <si>
    <r>
      <t xml:space="preserve">Aktif güç, doğrudan elektrik enerjisi giriş hızını gösterir. Bir heat boyunca verilen aktif gücün integrali, harcanan elektrik enerjisini (MWh) verir. </t>
    </r>
    <r>
      <rPr>
        <b/>
        <sz val="10"/>
        <color theme="1"/>
        <rFont val="ABBvoice"/>
        <family val="2"/>
      </rPr>
      <t>Yüksek aktif güç</t>
    </r>
    <r>
      <rPr>
        <sz val="10"/>
        <color theme="1"/>
        <rFont val="ABBvoice"/>
        <family val="2"/>
      </rPr>
      <t xml:space="preserve"> ile çalışmak, prosesi hızlandırarak birim metal başına harcanan süreyi kısaltır – dolayısıyla ısı kayıplarını azaltır. Ancak güç çok yüksek olursa yansıtma ve iletim kayıpları da artabilir. Uygun güç seviyesinin seçimi, spesifik enerji tüketimini optimize eder. Örneğin 40 MW yerine 30 MW ortalama güçte çalışmak tap-to-tap süresini uzatıp daha fazla ısı kaybına yol açabilir.</t>
    </r>
  </si>
  <si>
    <r>
      <t xml:space="preserve">Tap-to-tap (ısıtma döngüsü) süresi, aynı miktar metalin ne kadar sürede üretildiğini gösterir. </t>
    </r>
    <r>
      <rPr>
        <b/>
        <sz val="10"/>
        <color theme="1"/>
        <rFont val="ABBvoice"/>
        <family val="2"/>
      </rPr>
      <t>Uzun TTT</t>
    </r>
    <r>
      <rPr>
        <sz val="10"/>
        <color theme="1"/>
        <rFont val="ABBvoice"/>
        <family val="2"/>
      </rPr>
      <t xml:space="preserve"> genellikle enerji verimsizliğine işaret eder: süre uzadıkça refrakter ve soğutma panellerine kaçan ısı artar ve toplam kWh/ton yükselir. Örneğin, tap-to-tap süresini enerji girişiyle kısaltmak enerji tüketimini düşürebilir. Düşük TTT (hızlı eritme) ise ısı kayıplarını azaltarak enerji tasarrufu sağlar; veriler düşük TTT’nin cüruf miktarını da azalttığını göstermektedir (daha verimli reaksiyon).</t>
    </r>
  </si>
  <si>
    <t>Panel soğutma suyu debisi</t>
  </si>
  <si>
    <t>m³/saat</t>
  </si>
  <si>
    <t>PLC (akış ölçer)</t>
  </si>
  <si>
    <t>1 dk (ortalama)</t>
  </si>
  <si>
    <t>Panel su giriş sıcaklığı (T_in)</t>
  </si>
  <si>
    <t>Soğutma devresine panellere girmeden önceki su sıcaklığı</t>
  </si>
  <si>
    <t>PLC (sensör)</t>
  </si>
  <si>
    <t>Panellerden çıkan suyun sıcaklığı</t>
  </si>
  <si>
    <t>Tavan (roof) soğutma suyu debisi</t>
  </si>
  <si>
    <r>
      <t xml:space="preserve">Kapak/çatı soğutması, direkt ark ışınımına maruz kaldığından önemli bir ısı kaybı kalemidir. Roof üzerindeki su debisi de panel debisi gibi, çekilen ısıyı belirler. </t>
    </r>
    <r>
      <rPr>
        <b/>
        <sz val="11"/>
        <color theme="1"/>
        <rFont val="Calibri"/>
        <family val="2"/>
        <scheme val="minor"/>
      </rPr>
      <t>Yüksek roof su akışı</t>
    </r>
    <r>
      <rPr>
        <sz val="11"/>
        <color theme="1"/>
        <rFont val="Calibri"/>
        <family val="2"/>
        <scheme val="minor"/>
      </rPr>
      <t>, arkın tavana verdiği ısının büyük kısmını alır; bu, refrakter koruması için iyi ancak enerji verimliliği için kayıptır. Debinin optimum düzeyde tutulması gerekir.</t>
    </r>
  </si>
  <si>
    <t>Tavan suyu giriş/çıkış T</t>
  </si>
  <si>
    <t>Çatı soğutma suyu devresi giriş ve çıkış sıcaklıkları</t>
  </si>
  <si>
    <t>PLC (sensörler)</t>
  </si>
  <si>
    <r>
      <t>Refrakter/Astar durumu</t>
    </r>
    <r>
      <rPr>
        <sz val="11"/>
        <color theme="1"/>
        <rFont val="Calibri"/>
        <family val="2"/>
        <scheme val="minor"/>
      </rPr>
      <t xml:space="preserve"> (Not: Bu bir ölçüm verisi değil, duruma ait)</t>
    </r>
  </si>
  <si>
    <t>– (kalınlık mm)</t>
  </si>
  <si>
    <t>Refrakter kalınlığı azaldıkça, ısı iletimi artar ve soğutma suyu/çevreye kaçan enerji yükselir. Örneğin refrakterde oluşan bir çatlak veya incelme, o bölgeden su soğutmasına ekstra ısı yükler. İyi durumda kalın refrakter, ısıyı içeride tutarak enerji verimliliğini artırır. Bu nedenle refrakter harcamaları dolaylı olarak enerji maliyetini düşürür; iyi yalıtım %25-30’a varan enerji tasarrufu potansiyeli taşır.</t>
  </si>
  <si>
    <t>Bakım kayıtları / kalınlık ölçümü</t>
  </si>
  <si>
    <t>Her bakım (aylık)</t>
  </si>
  <si>
    <t>Gang içeriği yüksekse daha fazla cüruf oluşur ve ergitilecek kütle artar → Ocak enerjisi yükselir. Örneğin, beslemenin SiO₂ oranını düşürmek (örn. konsantre cevher kullanarak) cüruf miktarını ve enerji tüketimini düşürür. Gang bileşimi cürufun ergime sıcaklığını belirler; yüksek ergime sıcaklıklı cüruf (ör. fazla MgO, Al₂O₃) Ocakın daha yüksek sıcaklıkta çalışmasını ve dolayısıyla daha çok enerji harcamasını gerektirir.</t>
  </si>
  <si>
    <t>Yüksek nem, Ocak ilk aşamalarında suyun buharlaşması için ekstra gizli ısı harcanmasına sebep olur. Yaklaşık her 1 kg su buharlaştırmak için 0.63 kWh enerji gerekir. Nemli şarj, ayrıca suyun yüksek sıcaklıkta karbonu okside ederek CO oluşturmasına (Boudouard reaksiyonu) yol açar, bu da ek endotermik reaksiyon demektir. Sonuçta nem, spesifik enerji tüketimini artırır.</t>
  </si>
  <si>
    <t>Tane boyutu, Ocakda malzeme permeabilitesini ve reaksiyon hızlarını etkiler. İnce taneli malzeme DC Ocakda doğrudan kullanılabilir (peletleme şart değil), bu verimlilik avantajı sağlar; ancak aşırı toz halde malzeme beslemesi gaz akışını bozabilir veya besleme kayıplarına yol açabilir. Uygun boyut aralığı seçilirse Ocak koşulları ideal kalır ve enerji kaybı azalır.</t>
  </si>
  <si>
    <t>Şarj malzemelerinin Ocaka girmeden önce ısıtıldığı sıcaklık (preheater çıkışı)</t>
  </si>
  <si>
    <t>Cevherin ve katkıların önceden ısıtılması, Ocakda harcanacak enerjiyi doğrudan azaltır. Örneğin, cevheri ~900 °C’ye kadar ısıtmak, elektrik tüketimini konvansiyonel soğuk şarja kıyasla belirgin şekilde düşürür. Ön ısıtmalı bir DC Ocak tipik olarak ~3.4–3.6 MWh/ton tüketirken, soğuk beslemeli klasik Ocak ~4.1 MWh/ton harcayabilir. Bu sayede %15–20 elektrik tasarrufu mümkündür.</t>
  </si>
  <si>
    <t>Cevherdeki krom ve demirin Ocak öncesi metalizasyon oranı (ör. %50 metalize)</t>
  </si>
  <si>
    <t>Yüksek ön indirgeme (% metalizasyon), Ocakda gerçekleştirilecek endotermik reaksiyonların büyük kısmını önceden gerçekleştirdiği için Ocakın elektrik yükünü dramatik biçimde azaltır. Örneğin yaklaşık %50 Cr metalizasyonuna sahip pelet kullanımı, toplam enerji tüketimini ~4.1’den ~2.4 MWh/tona düşürebilir. Enerji tasarrufu için ön indirgeme derecesinin en az %50 veya üstü olması önerilir.</t>
  </si>
  <si>
    <t>Redüktan/cevher oranı, Ocakdaki indirgeme reaksiyonlarını ve kimyasal enerji dengesini belirler. Stokiyometrik fazla karbon, ekstra CO gazı oluşumu demektir – bu CO gazı Ocak içinde yanmadan çıkarsa potansiyel ısısını kaybettirir. Nitekim tipik bir FeCr şarjından çıkan gaz %75–90 CO içerir ve tam yakılırsa ~2.0–2.3 MWh/ton enerji açığa çıkar (bu, Ocakda harcanan elektriğin ~%70’ine denk bir kimyasal enerjidir). Fazla karbon verilip bu enerji geri kazanılmazsa, elektrik tüketimi o derece yüksek kalır. Öte yandan karbonun yetersiz olması da krom oksitin tam indirgenemeyip cürufta kalmasına ve enerji verimsizliğine yol açar.</t>
  </si>
  <si>
    <t>Redüktanın kimyasal bileşimi ve reaktivitesi Ocak enerji dengesini etkiler. Uçucu madde içeriği yüksek bir kömür, Ocak içinde kısmi yanarak ekstra ısı sağlayabilir (kimyasal enerji katkısı), bu da elektrik yükünü azaltabilir. Örneğin, reaktif bir biyokömür daha düşük sıcaklıkta indirgeme sağlayarak toplam enerji ihtiyacını düşürebilir. Ancak uçucuların kontrolsüz yanması veya farklı kül içeriği Ocak verimini olumsuz da etkileyebileceğinden, redüktan türü dikkatle seçilmelidir.</t>
  </si>
  <si>
    <t>Cüruf kimyasını kontrol etmek için eklenen flux miktarı, cürufun bazisitesini ve viskozitesini ayarlar. Optimum bazisite, cürufun ergime sıcaklığını düşürerek daha az enerjiyle akışkan hale gelmesini sağlar. Aşırı flux ilavesi ise gereğinden fazla kütleyi ısıtmak anlamına geleceğinden enerji israfına yol açabilir. Örneğin bazisiteyi 1.0’den 1.4’e çıkarmak ergime sıcaklığını artırıp Ocak tüketimini yükseltebilir. Dolayısıyla her bir flux için ideal miktar, minimum enerjiyle hedef kompozisyonu sağlayacak şekilde olmalıdır.</t>
  </si>
  <si>
    <t>Ocakın doğru akım değeri (elektrottan geçen akım)</t>
  </si>
  <si>
    <t>Ocakın aktif gücü P = U × I ile belirlendiğinden, hedef üretim için yeterli akım gereklidir. Yüksek akım, aynı gücü daha düşük gerilimle sağlayarak arkı kısaltabilir; ancak çok yüksek akım durumda akım yayınımı ve iletim kayıpları artar. Optimal akım ile çalışmak, hedeflenen güç yoğunluğunu koruyarak enerji verimliliğini sağlar. DC FeCr Ocaklarında akım genellikle çok yüksektir (ör. 70–100 kA), bu sayede güç yoğunluğu artırılır.</t>
  </si>
  <si>
    <t>Ocak kutupları arasındaki doğru gerilim</t>
  </si>
  <si>
    <t>Gerilim, ark uzunluğunu ve arkın yaydığı radyant ısı alanını kontrol eder. Yüksek gerilim (uzun ark), ergitme bölgesini genişletir fakat radyasyon kayıplarını artırabilir; düşük gerilim (kısa ark) ise arkı banyonun içine çekerek ısının daha fazla banyoya iletilmesini sağlar ancak güç aynı kalacaksa akımı artırmak gerekir. DC Ocaklarda tipik gerilim 200–600 V aralığındadır; optimum değerin seçimi enerji verimi için kritiktir. Uygun ark boyunda çalışmak, duvar kayıplarını en aza indirerek kWh/t’yi düşürür.</t>
  </si>
  <si>
    <t>Ocakın anlık çektiği aktif güç (MW olarak)</t>
  </si>
  <si>
    <t>Ocakın şebekeden çektiği reaktif güç</t>
  </si>
  <si>
    <t>Reaktif güç, endüktif yükler ve ark davranışı nedeniyle ortaya çıkar ve güç faktörünü düşürür. Yüksek Q (düşük cosφ), aynı aktif gücü sağlamak için trafodan daha fazla toplam güç (kVA) çekildiği anlamına gelir; bu da trafoda ve kablolarda ısınma kayıplarını artırır. Dolayısıyla güç faktörünün düşük olması dolaylı olarak enerji maliyetini ve kayıpları artırabilir. DC Ocaklar genelde AC’ye göre daha yüksek güç faktörü ile çalışsalar da (yaklaşık 0.95 civarı), rektifiye devreleri ve ark dalgalanmaları bir miktar reaktif bileşen yaratabilir. PF’nin mümkün olduğunca 1’e yakın tutulması (kondansatörler veya doğru ark ayarıyla) daha verimli enerji kullanımını sağlar.</t>
  </si>
  <si>
    <t>cosφ değeri 1’e ne kadar yakınsa, çekilen gücün o kadar büyük bölümü iş yapılmasına harcanıyor demektir. Düşük güç faktöründe (örn. 0.8) aynı aktif gücü elde etmek için %25 daha fazla akım çekilir, bu da tesis genelinde I²R ısı kayıplarını ve şebeke cezasını artırır. Yani düşük PF, dolaylı olarak daha yüksek net elektrik tüketimine yol açar (özellikle dağıtım sisteminde kayıp olarak). DC ark Ocaklarında anlık cosφ değerini izlemek, ark stabilitesini ve verimini takip etmeye yardımcı olur.</t>
  </si>
  <si>
    <t>Ocakın taban alanı başına düşen ortalama güç yükü</t>
  </si>
  <si>
    <t>Güç yoğunluğu, Ocakın hacmine oranla ne kadar yoğun ısıtıldığını gösterir. Yüksek güç yoğunluğu (örn. 500–600 kW/m² seviyeleri) Ocakın çok hızlı ısıttığını, dolayısıyla aynı üretim için daha kısa sürede işlem tamamladığını gösterir. Bu da ısı kaybına ayrılan süreyi kısaltarak spesifik enerjiyi düşürür. Aksine, düşük güç yoğunluğu Ocakda daha uzun kalış süresi demektir, bu sırada duvarlar ve soğutma sistemine daha fazla enerji kaçar. Ancak çok yüksek güç yoğunluğu da refrakterlere aşırı ısı yükleyerek verim düşürebilir, bu nedenle optimum bir değerde tutulmalıdır.</t>
  </si>
  <si>
    <t>Ark uzunluğu, elektrot ile banyo arasındaki mesafenin bir fonksiyonudur ve Ocakın ısı dağılımını belirler. Uzun ark (yüksek voltaj, yüksek impedans) daha yayvan bir ısı dağılımı sağlarken duvarlara radyasyon kayıpları artabilir. Kısa ark (düşük voltaj, düşük impedans) ise enerjiyi daha yoğun bir şekilde banyoya iletir ancak arkın stabil kalması zorlaşabilir. DC Ocaklarda tipik ark impedansı ~5–8×10^-3 Ω mertebesindedir. İyi kontrol edilen bir ark boyu, enerji verimini maksimize eder; aşırı uzun ark durumunda ~1000 kWh/ton’a varan ek kayıplar olabileceği raporlanmıştır (DC açık banyo Ocak ile gömülü ark farkı).</t>
  </si>
  <si>
    <t>Arkın kararlı olması, gücün anlık dalgalanmalarını önleyerek enerji verimini artırır. Dengesiz ark durumlarında, anlık güç düşüşleri ve arka ark takılmaları Ocakın efektif enerji girişini azaltıp toplam süreyi uzatır, ayrıca şebekede flicker olarak kayba yol açar. Ark stabilite indeksleri (gerilim standard sapması, flicker Pst gibi) yüksekse, Ocakın aynı miktar metal için daha fazla toplam enerji çekmesi gerekebilir. Stabil bir ark ile çalışmak, kWh/ton değerini düşürmeye yardımcı olur.</t>
  </si>
  <si>
    <t>Ocaka enerji verildiği toplam süre (aktif ergitme süresi)</t>
  </si>
  <si>
    <t>Bir heat içinde veya günde enerji verilip kesilen sürelerin toplamı, enerji kullanımının etkinliğini gösterir. Düşük power-on oranı (yani sık sık enerji kesintisi veya bekleme) Ocakın sık soğumasına ve yeniden ısınmasına yol açar. Bu aralarda Ocak içerisi sıcak kalmak için ekstra enerji harcar. Örneğin, elektrik kesildiğinde dahi banyodaki sıcak metal ve cüruf çevreye ısı kaybeder; yeniden enerji verildiğinde önce bu kayıp telafi edilir. Daavittila, Ocakın düşük kullanım oranının güç tüketimini artırdığını belirtmektedir. Dolayısıyla enerji verilmediği duruş sürelerinin minimize edilmesi spesifik tüketimi düşürür.</t>
  </si>
  <si>
    <t>Ocak yan duvar ve pota panellerinden geçen soğutma suyunun toplam debisi (veya panel bazında)</t>
  </si>
  <si>
    <t>Su debisi, Ocakdan aktif olarak taşınan ısının hesaplanmasında kullanılır. Belirli bir debide su, giriş-çıkış sıcaklık farkı ile çarpıldığında çekilen ısı kW cinsinden bulunur. Yüksek debi, aynı ΔT’de daha fazla ısı taşıyacağı için, eğer gereksiz yere yüksekse enerji kayıplarını artırabilir. Optimal debi ile çalışmak, panellerin aşırı ısınmadan minimum ısı çekmesini sağlar.</t>
  </si>
  <si>
    <t>Giriş suyu sıcaklığı ortam şartlarına ve soğutma sistemine bağlıdır. Düşük T_in, Ocakdan daha fazla ısı çekme potansiyeli demektir (çünkü ΔT artabilir). Ancak çok düşük T_in (ör. &lt;20°C) panel yakınında yoğuşma ve termal şok riskini artırabilir. Enerji verimliliği açısından T_in değeri mümkün olduğunca yüksek tutulup (ör. 30-35°C) yine de yeterli soğutma sağlanarak, Ocakdan çekilen ısı akısı bir miktar azaltılabilir. T_in değişkeni enerji kaybını doğrudan etkilemez fakat ΔT ile birlikte değerlendirilmelidir.</t>
  </si>
  <si>
    <t>T_out – T_in farkı, panellerin ne kadar ısı aldığının göstergesidir. Yüksek T_out, Ocakdan çok ısı çekildiğini gösterir. Örneğin, T_out 55°C üzerine çıkıyorsa paneller ciddi enerji alıyor demektir. Tipik olarak, toplam soğutma suyu ΔT değerine göre hesaplanan ısı kaybı, Ocaka giren enerjinin ~%10’u mertebesinde olabilir. T_out’u düşürmek (daha az ısı kaybı) için refrakter kalınlığı ve Ocak operasyonu optimize edilmelidir.</t>
  </si>
  <si>
    <t>Ocak çatısındaki soğutma devresinin su akış hızı</t>
  </si>
  <si>
    <t>Panel çıkış suyunda olduğu gibi, çatı suyu ΔT’si de buradan çekilen ısıyı gösterir. Özellikle DC ark Ocakında ark boyu uzun ise tavan soğutma yükü artar (açık ark sonucu). Çatı su çıkış sıcaklığının yükselmesi, tavandan kaybedilen enerjinin arttığını gösterir. Örneğin, çatı suyu ısınması toplam elektrik enerjisinin kayda değer bir kısmını temsil edebilir. Bu kayıpları azaltmak için ark boyu ve Ocak üst basıncı optimize edilir.</t>
  </si>
  <si>
    <t>Ocak içindeki refrakter tuğla ve astarın kalınlığı, aşınma durumu</t>
  </si>
  <si>
    <t>Fırından çıkan atık gazın hemen çıkıştaki sıcaklığı</t>
  </si>
  <si>
    <r>
      <t xml:space="preserve">Gaz sıcaklığı ne kadar yüksekse, taşınan duyulur ısı o kadar fazladır ve eğer geri kazanılmıyorsa doğrudan kaybedilir. Örneğin kapalı bir SAF’tan çıkan gaz ~300–500 °C civarında olabilir. </t>
    </r>
    <r>
      <rPr>
        <b/>
        <sz val="11"/>
        <color theme="1"/>
        <rFont val="Calibri"/>
        <family val="2"/>
        <scheme val="minor"/>
      </rPr>
      <t>Yüksek off-gas sıcaklığı</t>
    </r>
    <r>
      <rPr>
        <sz val="11"/>
        <color theme="1"/>
        <rFont val="Calibri"/>
        <family val="2"/>
        <scheme val="minor"/>
      </rPr>
      <t>, ön ısıtma sisteminiz yoksa enerji kaybı demektir. Ancak bu sıcaklık, eğer bir ısı eşanjörü veya şaft ön ısıtıcısı besleniyorsa, geri kazanım potansiyelidir. İdeal olarak gaz sıcaklığı, içerdiği CO kimyasal enerjiyi tesis içinde kullanmak için yeterli olmalı ancak ısı transferi için de çok düşük olmamalıdır.</t>
    </r>
  </si>
  <si>
    <t>Termokupl (baca çıkışı)</t>
  </si>
  <si>
    <t>1 dk (ya da sürekli kayıt)</t>
  </si>
  <si>
    <t>Off-gas debisi</t>
  </si>
  <si>
    <t>Fırından çıkan gazın hacimsel akış hızı</t>
  </si>
  <si>
    <t>Nm³/saat</t>
  </si>
  <si>
    <r>
      <t xml:space="preserve">Atık gaz debisi, fırındaki reaksiyonların ve sızdırmazlığın bir göstergesidir. </t>
    </r>
    <r>
      <rPr>
        <b/>
        <sz val="11"/>
        <color theme="1"/>
        <rFont val="Calibri"/>
        <family val="2"/>
        <scheme val="minor"/>
      </rPr>
      <t>Kapalı bir fırında</t>
    </r>
    <r>
      <rPr>
        <sz val="11"/>
        <color theme="1"/>
        <rFont val="Calibri"/>
        <family val="2"/>
        <scheme val="minor"/>
      </rPr>
      <t xml:space="preserve"> gaz debisi 650–850 Nm³/t FeCr gibi düşük değerlerde tutulur; </t>
    </r>
    <r>
      <rPr>
        <b/>
        <sz val="11"/>
        <color theme="1"/>
        <rFont val="Calibri"/>
        <family val="2"/>
        <scheme val="minor"/>
      </rPr>
      <t>açık/yarı açık fırınlarda</t>
    </r>
    <r>
      <rPr>
        <sz val="11"/>
        <color theme="1"/>
        <rFont val="Calibri"/>
        <family val="2"/>
        <scheme val="minor"/>
      </rPr>
      <t xml:space="preserve"> ise hava girişi ve yanma nedeniyle 10 000+ Nm³/t’a kadar çıkabilir. Düşük debi, kontrol edilen bir atmosfer ve kimyasal enerjinin içeride tutulduğu anlamına gelir. Gaz debisi arttıkça, aynı sıcaklıkta daha fazla ısı taşıyıp götürür. Bu yüzden kapalı fırın tasarımları toplam gaz hacmini azaltarak enerji kaybını da azaltır.</t>
    </r>
  </si>
  <si>
    <t>Gaz ölçümü (debimetre)</t>
  </si>
  <si>
    <t>1 dk (tercihen sürekli)</t>
  </si>
  <si>
    <t>Off-gas bileşimi (CO, CO₂, H₂, O₂)</t>
  </si>
  <si>
    <t>Çıkan gazdaki hacimsel CO, CO₂, H₂, N₂, O₂ oranları</t>
  </si>
  <si>
    <r>
      <t xml:space="preserve">Gazın bileşimi, içinde ne kadar yanmamış kimyasal enerji olduğunu belirler. Örneğin kapalı bir FeCr fırını gazı tipik olarak %75–90 </t>
    </r>
    <r>
      <rPr>
        <b/>
        <sz val="11"/>
        <color theme="1"/>
        <rFont val="Calibri"/>
        <family val="2"/>
        <scheme val="minor"/>
      </rPr>
      <t>CO</t>
    </r>
    <r>
      <rPr>
        <sz val="11"/>
        <color theme="1"/>
        <rFont val="Calibri"/>
        <family val="2"/>
        <scheme val="minor"/>
      </rPr>
      <t xml:space="preserve"> ve %2–15 H₂ içerir. Bu yüksek CO içeriği, gazın kalorifik değerinin ~2.0–2.3 MWh/ton FeCr seviyesinde olduğu anlamına gelir. Eğer fırın gazı fırın içinde veya bir sonradan yakıcıda yanmadan atmosfere verilirse, bu enerji tamamen ziyan olur. Öte yandan gaz içindeki CO/H₂ oranı yüksekse, bunları uygun şekilde yakıp ısıya çevirmek elektrik tüketimini %50’ye yakın azaltabilir. Bu nedenle gaz kompozisyonunun izlenmesi ve mümkünse CO’nun kontrollü yakılması (post-combustion) enerjiyi olumlu etkiler.</t>
    </r>
  </si>
  <si>
    <t>Online gaz analizörü</t>
  </si>
  <si>
    <t>1 dk (sürekli)</t>
  </si>
  <si>
    <t>Off-gas kullanım durumu</t>
  </si>
  <si>
    <t>Çıkan gazın nasıl değerlendirildiği (flare ile yakma, ısı eşanjörü, ön ısıtma, yakıt olarak kullanım vb.)</t>
  </si>
  <si>
    <t>Atık gazın proses içinde yeniden kullanımı, fırının net elektrik ihtiyacını ciddi oranda düşürebilir. Kapalı fırınlarda gaz, fanlarla çekilip yıkandıktan sonra başka proseslerde yakıt olarak kullanılabilir. Örneğin Outokumpu/Outotec teknolojisinde bu CO gazı şaft ön ısıtıcıda yakılarak cevheri ısıtır ve elektrik tüketimini düşürür. Eğer gaz sadece meşalede yakılıp boşa ısı olarak atılıyorsa, fırın yaklaşık %60 daha fazla elektrik enerjisi tüketiyor demektir (gazın ısıl değeri toplam enerjinin %60’ı kadardır). Bu yüzden veriler, off-gas’in hangi oranda geri kazanıldığını ortaya koymalıdır.</t>
  </si>
  <si>
    <t>İşletme bilgisi (proseste var mı)</t>
  </si>
  <si>
    <t>– (düzen tasarımı)</t>
  </si>
  <si>
    <t>Cüruf kompozisyonu</t>
  </si>
  <si>
    <t>Nihai cürufun kimyasal içeriği (CaO, MgO, SiO₂, Al₂O₃, Cr₂O₃, FeO vb.)</t>
  </si>
  <si>
    <r>
      <t xml:space="preserve">Cüruf bileşimi, cürufun ergime sıcaklığını (T_liquidus) ve viskozitesini doğrudan belirler. </t>
    </r>
    <r>
      <rPr>
        <b/>
        <sz val="11"/>
        <color theme="1"/>
        <rFont val="Calibri"/>
        <family val="2"/>
        <scheme val="minor"/>
      </rPr>
      <t>Asidik cüruf</t>
    </r>
    <r>
      <rPr>
        <sz val="11"/>
        <color theme="1"/>
        <rFont val="Calibri"/>
        <family val="2"/>
        <scheme val="minor"/>
      </rPr>
      <t xml:space="preserve"> (yüksek SiO₂) veya çok </t>
    </r>
    <r>
      <rPr>
        <b/>
        <sz val="11"/>
        <color theme="1"/>
        <rFont val="Calibri"/>
        <family val="2"/>
        <scheme val="minor"/>
      </rPr>
      <t>bazik cüruf</t>
    </r>
    <r>
      <rPr>
        <sz val="11"/>
        <color theme="1"/>
        <rFont val="Calibri"/>
        <family val="2"/>
        <scheme val="minor"/>
      </rPr>
      <t xml:space="preserve"> (aşırı CaO) her ikisi de ergime sıcaklığını yükseltebilir ve fırında daha yüksek sıcaklık/enerji gerektirir. Örneğin cüruf Cr₂O₃ içeriği yüksek kalırsa (%3-4 üzeri), bu indirgenmemiş krom anlamına gelir ve enerji verimsizliğine işarettir. Genel olarak, cüruf kompozisyonu uygun aralıkta tutulup fazla viskoz veya yüksek ergime noktalı olmaması sağlanırsa, fırın daha düşük enerjiyle işletilebilir.</t>
    </r>
  </si>
  <si>
    <t>Lab (cüruftan numune analizi)</t>
  </si>
  <si>
    <t>Her tapping (her döküm)</t>
  </si>
  <si>
    <t>Bazisite (CaO/SiO₂ oranı)</t>
  </si>
  <si>
    <t>Cürufun bazisite indeksi (ör. CaO/SiO₂ veya [CaO+MgO]/[SiO₂+Al₂O₃])</t>
  </si>
  <si>
    <r>
      <t xml:space="preserve">Cüruf bazisitesi enerji tüketimini dolaylı etkiler çünkü cürufun ergime davranışını değiştirir. </t>
    </r>
    <r>
      <rPr>
        <b/>
        <sz val="11"/>
        <color theme="1"/>
        <rFont val="Calibri"/>
        <family val="2"/>
        <scheme val="minor"/>
      </rPr>
      <t>Çok düşük bazisite</t>
    </r>
    <r>
      <rPr>
        <sz val="11"/>
        <color theme="1"/>
        <rFont val="Calibri"/>
        <family val="2"/>
        <scheme val="minor"/>
      </rPr>
      <t xml:space="preserve"> (asidik cüruf) ergime sıcaklığını artırabilir; </t>
    </r>
    <r>
      <rPr>
        <b/>
        <sz val="11"/>
        <color theme="1"/>
        <rFont val="Calibri"/>
        <family val="2"/>
        <scheme val="minor"/>
      </rPr>
      <t>çok yüksek bazisite</t>
    </r>
    <r>
      <rPr>
        <sz val="11"/>
        <color theme="1"/>
        <rFont val="Calibri"/>
        <family val="2"/>
        <scheme val="minor"/>
      </rPr>
      <t xml:space="preserve"> de aynı şekilde yüksek refrakter cüruf oluşturur. Her iki durumda da fırın sıcaklık ihtiyacı artar, bu da daha fazla elektrik enerjisi demektir. Optimal bazisite (ör. ~1 civarı CaO/SiO₂) genelde en düşük ergime sıcaklığını verir ve enerji tasarrufu sağlar. Örneğin, bazisiteyi 0.8’den 1.2’ye çıkarmak teorik olarak cüruf ergime noktasını ~50-100°C yükselterek enerji tüketimini artırabilir (literatürde termokimyasal hesaplamalarla gösterilmiştir).</t>
    </r>
  </si>
  <si>
    <t>Lab (cürufta XRF analizi)</t>
  </si>
  <si>
    <t>Her tapping numunesi</t>
  </si>
  <si>
    <t>Üretilen cüruf kütlesinin alaşım (metal) kütlesine oranı (örn. ton cüruf / ton FeCr)</t>
  </si>
  <si>
    <r>
      <t xml:space="preserve">Bu oran, proseste ne kadar atığın ısıtıldığına kıyasla ne kadar ürün alındığını gösterir. </t>
    </r>
    <r>
      <rPr>
        <b/>
        <sz val="11"/>
        <color theme="1"/>
        <rFont val="Calibri"/>
        <family val="2"/>
        <scheme val="minor"/>
      </rPr>
      <t>Yüksek slag/metal oranı</t>
    </r>
    <r>
      <rPr>
        <sz val="11"/>
        <color theme="1"/>
        <rFont val="Calibri"/>
        <family val="2"/>
        <scheme val="minor"/>
      </rPr>
      <t>, her ton metal için çok daha fazla kütlenin ısıtıldığı anlamına gelir; dolayısıyla spesifik enerji tüketimini yükseltir. Örneğin slag/metal oranının 1.1’den 1.5’e çıkması, cüruf miktarındaki %36 artış nedeniyle enerji tüketimini de benzer oranda artıracaktır (ısı kayıpları da dahil). Düşük slag-to-metal oranı istenir; kaliteli cevher kullanımı, uygun flux ayarı ile sağlanabilir.</t>
    </r>
  </si>
  <si>
    <t>Hesap (kütle dengesi: tartımlar)</t>
  </si>
  <si>
    <t>Her tapping için hesapla</t>
  </si>
  <si>
    <t>Metal sıcaklığı (döküm anı)</t>
  </si>
  <si>
    <t>Sıvı FeCr alaşımının potaya alındığı (tapping) anındaki sıcaklık</t>
  </si>
  <si>
    <r>
      <t xml:space="preserve">Döküm sıcaklığı, fırında banyoyu ne kadar ısıttığımızın bir sonucudur. </t>
    </r>
    <r>
      <rPr>
        <b/>
        <sz val="11"/>
        <color theme="1"/>
        <rFont val="Calibri"/>
        <family val="2"/>
        <scheme val="minor"/>
      </rPr>
      <t>Gereğinden yüksek tapping sıcaklığı</t>
    </r>
    <r>
      <rPr>
        <sz val="11"/>
        <color theme="1"/>
        <rFont val="Calibri"/>
        <family val="2"/>
        <scheme val="minor"/>
      </rPr>
      <t>, hedeflenen ergime için fazla enerji harcandığını gösterir. Örneğin hedef 1550 °C iken 1650 °C’de döküm yapmak, her ton metalde fazladan yüzlerce MJ (ısı olarak) fazladan tutulduğu anlamına gelir. Bu sadece enerji israfı değil, refrakter tüketimini de artırır (1650 °C üzeri sıcaklıklarda refrakterde aşınma hızlanır). Dolayısıyla, metal sıcaklığı mümkün olan en düşük kabul edilebilir değerde tutulmalıdır.</t>
    </r>
  </si>
  <si>
    <t>Termokupul / Pyrometer (tapping)</t>
  </si>
  <si>
    <t>Her tapping ölçümü</t>
  </si>
  <si>
    <t>Metal kompozisyonu (C, Si, Cr, Fe, P, S)</t>
  </si>
  <si>
    <t>Nihai FeCr alaşımının kimyasal analizi (yüzdeler)</t>
  </si>
  <si>
    <r>
      <t xml:space="preserve">Üründeki elementler, fırında gerçekleşen reaksiyonların ne kadar ileri gittiğini gösterir. </t>
    </r>
    <r>
      <rPr>
        <b/>
        <sz val="11"/>
        <color theme="1"/>
        <rFont val="Calibri"/>
        <family val="2"/>
        <scheme val="minor"/>
      </rPr>
      <t>Yüksek C%</t>
    </r>
    <r>
      <rPr>
        <sz val="11"/>
        <color theme="1"/>
        <rFont val="Calibri"/>
        <family val="2"/>
        <scheme val="minor"/>
      </rPr>
      <t xml:space="preserve"> (ör. %8-9 C) alaşım, karbonun krom oksiti tamamen indirgediğini ve fazlasının metale geçtiğini gösterir; genelde enerji açısından olumsuz değildir, hatta karbonun metale geçişi egzotermik olmasa da ilave enerji gerekmez. Ancak </t>
    </r>
    <r>
      <rPr>
        <b/>
        <sz val="11"/>
        <color theme="1"/>
        <rFont val="Calibri"/>
        <family val="2"/>
        <scheme val="minor"/>
      </rPr>
      <t>yüksek Si%</t>
    </r>
    <r>
      <rPr>
        <sz val="11"/>
        <color theme="1"/>
        <rFont val="Calibri"/>
        <family val="2"/>
        <scheme val="minor"/>
      </rPr>
      <t xml:space="preserve"> (örn. %4-6 Si) alaşım, cüruftaki SiO₂’nin indirgenerek metale geçtiğini gösterir ki SiO₂ → Si indirgemesi oldukça endotermiktir. Alaşımda her %1 Si artışı, ton başına ~50-100 kWh ekstra enerji alındığına işaret edebilir (modelleme ile). Dolayısıyla hedef spesifikasyonun üzerinde silisyum indirgememek enerji tasarrufu için iyidir. Ayrıca düşük Cr analizleri (ör. %50 altı Cr) verim düşüklüğünü gösterir, bu da aynı enerjiyle daha az Cr üretildiği anlamına gelir.</t>
    </r>
  </si>
  <si>
    <t>Lab (döküm numunesi analizi)</t>
  </si>
  <si>
    <t>Her tapping için</t>
  </si>
  <si>
    <t>Banyoda C içeriği</t>
  </si>
  <si>
    <t>Fırın ergime banyosundaki eriyik metalde çözünmüş karbon miktarı (operasyon sırasında)</t>
  </si>
  <si>
    <t>% (ağırlık)</t>
  </si>
  <si>
    <t>Banyo karbon içeriği, krom oksit indirgenmesinin hızını etkiler. Karbon çözünürlüğü yüksekse (Fe-C banyoda), krom indirgenmesi için gereken aktivite kolay sağlanır, bu da reaksiyonların sürekliliğini sağlar. Ancak karbon belli bir düzeyin üstünde ise fazla karbon monoksit kabarcığı (Boudouard reaksiyonu) çıkarak ısı taşınımını bozabilir veya köpürme yaratabilir. Enerjiye etkisi karmaşıktır: Düşük banyoda C varsa krom indirgenmesi yavaşlayabilir (daha uzun süre, dolayısıyla daha fazla enerji), çok yüksek C varsa da reaksiyon verimi düşebilir. İdeal aralıkta tutulması enerjinin verimli kullanılmasını sağlar.</t>
  </si>
  <si>
    <t>Lab (banyo numunesi)</t>
  </si>
  <si>
    <t>Belirli aralıklarla (günlük)</t>
  </si>
  <si>
    <t>Slag köpüklenmesi</t>
  </si>
  <si>
    <t>Cürufun gazlanma ile genleşip köpük oluşturma derecesi (tahmini yüksekliği)</t>
  </si>
  <si>
    <r>
      <t xml:space="preserve">Köpüklenme, fırında arkı örtüp ısıyı tutmada faydalı olabilir, ancak aşırı köpük besleme sistemini ve stabiliteyi bozar. </t>
    </r>
    <r>
      <rPr>
        <b/>
        <sz val="11"/>
        <color theme="1"/>
        <rFont val="Calibri"/>
        <family val="2"/>
        <scheme val="minor"/>
      </rPr>
      <t>Hiç köpük yoksa</t>
    </r>
    <r>
      <rPr>
        <sz val="11"/>
        <color theme="1"/>
        <rFont val="Calibri"/>
        <family val="2"/>
        <scheme val="minor"/>
      </rPr>
      <t xml:space="preserve"> ark doğrudan radyasyonla çevreye ısı saçar, bu da enerji kaybıdır. </t>
    </r>
    <r>
      <rPr>
        <b/>
        <sz val="11"/>
        <color theme="1"/>
        <rFont val="Calibri"/>
        <family val="2"/>
        <scheme val="minor"/>
      </rPr>
      <t>Aşırı köpük</t>
    </r>
    <r>
      <rPr>
        <sz val="11"/>
        <color theme="1"/>
        <rFont val="Calibri"/>
        <family val="2"/>
        <scheme val="minor"/>
      </rPr>
      <t xml:space="preserve"> ise elektrodun batmasını zorlaştırıp verimi düşürür. Kontrollü bir cüruf köpüklenmesi, çelik EAF fırınlarında olduğu gibi, DC FeCr fırınında da ark kayıplarını azaltarak enerji tüketimini düşürebilir. Ancak ferrokrom cürufu, yüksek Cr₂O₃ ve MgO içeriğiyle genelde az köpürür; köpürtmek için organik katkılar veya silikon kontrollü yakma gibi yöntemler denenebilir. İyi bir seviyede (elektrodun ~%70 gömüleceği kadar) köpük, optimum enerjiyi sağlar.</t>
    </r>
  </si>
  <si>
    <t>Operatör gözlemi / kamera</t>
  </si>
  <si>
    <t>Sürekli (kalitatif izleme)</t>
  </si>
  <si>
    <t>Fırın tipi</t>
  </si>
  <si>
    <t>Fırının gaz kapağı ve çalışma şekli (açık banyo DC, yarı kapalı, tamamen kapalı SAF)</t>
  </si>
  <si>
    <r>
      <t xml:space="preserve">DC ark fırınları açık banyo (open-arc) prosesi olarak çalışır. </t>
    </r>
    <r>
      <rPr>
        <b/>
        <sz val="11"/>
        <color theme="1"/>
        <rFont val="Calibri"/>
        <family val="2"/>
        <scheme val="minor"/>
      </rPr>
      <t>Kapalı fırın</t>
    </r>
    <r>
      <rPr>
        <sz val="11"/>
        <color theme="1"/>
        <rFont val="Calibri"/>
        <family val="2"/>
        <scheme val="minor"/>
      </rPr>
      <t xml:space="preserve"> tasarımı, gazın içeride kontrolle çıkmasını sağlar ve kimyasal enerjiyi geri kazanma imkânı verir. </t>
    </r>
    <r>
      <rPr>
        <b/>
        <sz val="11"/>
        <color theme="1"/>
        <rFont val="Calibri"/>
        <family val="2"/>
        <scheme val="minor"/>
      </rPr>
      <t>Açık fırın</t>
    </r>
    <r>
      <rPr>
        <sz val="11"/>
        <color theme="1"/>
        <rFont val="Calibri"/>
        <family val="2"/>
        <scheme val="minor"/>
      </rPr>
      <t xml:space="preserve"> veya yarı kapalıda ise, gaz çıktığı anda hava ile karışıp yanar ve ~1000 kWh/ton’a varan ekstra enerji kaybına yol açar. Örneğin, açık banyo DC fırınlarının enerji tüketimi, aynı boyuttaki geleneksel SAF’lara göre ~1000 kWh/t daha yüksektir. Bu yüzden modern FeCr tesisleri mümkün mertebe kapalı ve gaz geri kazanımlı sistemler kullanır.</t>
    </r>
  </si>
  <si>
    <t>Tasarım dokümanı / işletme</t>
  </si>
  <si>
    <t>Sabit (tesis özelliği)</t>
  </si>
  <si>
    <t>İç basınç (fırın atmosferi)</t>
  </si>
  <si>
    <t>Fırın içerisindeki basıncın atmosferik değere göre farkı (genelde hafif pozitif veya negatif)</t>
  </si>
  <si>
    <t>Pa (veya mbar)</t>
  </si>
  <si>
    <r>
      <t xml:space="preserve">Fırın basıncı, gaz kaçakları ve hava sızmasını kontrol eder. </t>
    </r>
    <r>
      <rPr>
        <b/>
        <sz val="11"/>
        <color theme="1"/>
        <rFont val="Calibri"/>
        <family val="2"/>
        <scheme val="minor"/>
      </rPr>
      <t>Negatif basınç</t>
    </r>
    <r>
      <rPr>
        <sz val="11"/>
        <color theme="1"/>
        <rFont val="Calibri"/>
        <family val="2"/>
        <scheme val="minor"/>
      </rPr>
      <t xml:space="preserve"> altında çalışılan bir açık fırında, çevreden hava girip CO’yu hemen yakarak fırın içinde lokal yanma yapabilir; bu yanmanın ısısı çoğunlukla banyo yerine baca yoluyla kaçar. </t>
    </r>
    <r>
      <rPr>
        <b/>
        <sz val="11"/>
        <color theme="1"/>
        <rFont val="Calibri"/>
        <family val="2"/>
        <scheme val="minor"/>
      </rPr>
      <t>Pozitif basınç</t>
    </r>
    <r>
      <rPr>
        <sz val="11"/>
        <color theme="1"/>
        <rFont val="Calibri"/>
        <family val="2"/>
        <scheme val="minor"/>
      </rPr>
      <t xml:space="preserve"> ise CO gazının fırından yanmadan çıkmasını sağlar, ancak fazla basınçta gaz refrakter aralarından sızabilir. Optimal olarak hafif negatif basınç kullanılarak (ör. -10 Pa), kontrollü bir çekiş sağlanır. Yanlış basınç kontrolü, ya kimyasal enerjiyi kaybettirir ya da güvenlik riski oluşturur. Enerji verimliliği için basıncın stabil tutulması gerekir.</t>
    </r>
  </si>
  <si>
    <t>Basınç sensörü (furnace hood)</t>
  </si>
  <si>
    <t>Sürekli (PID kontrol)</t>
  </si>
  <si>
    <t>Yükleme modu</t>
  </si>
  <si>
    <t>Şarjın fırına beslenme şekli (sürekli besleme / kova ile aralıklı, üstten merkezden / çevresel besleme, elektrot içi besleme vb.)</t>
  </si>
  <si>
    <r>
      <t xml:space="preserve">Besleme modu, arkın örtülme derecesini ve ısı dağılımını etkiler. </t>
    </r>
    <r>
      <rPr>
        <b/>
        <sz val="11"/>
        <color theme="1"/>
        <rFont val="Calibri"/>
        <family val="2"/>
        <scheme val="minor"/>
      </rPr>
      <t>Sürekli besleme</t>
    </r>
    <r>
      <rPr>
        <sz val="11"/>
        <color theme="1"/>
        <rFont val="Calibri"/>
        <family val="2"/>
        <scheme val="minor"/>
      </rPr>
      <t>, fırının sabit termal dengede kalmasını sağlayarak enerji kayıplarını azaltır; büyük aralıklı kova yüklemeleri ise her yüklemede fırın kapağı açılması ve sıcak yüzeylerin soğuması demektir (ısı kaybı). Ayrıca, beslemenin elektrot etrafına homojen dağıtılması arkın radyasyonunu emer ve duvar kaybını azaltır. DC fırınlarda malzeme genelde merkezden, elektrodun yanından sürekli verilir. Eğer besleme duraklarsa veya dengesiz yüklenirse, ark açıkta kalır ve enerji verimi düşer. İyi bir yükleme modu, spesifik enerjiyi düşürmede kilit rol oynar.</t>
    </r>
  </si>
  <si>
    <t>İşletme (besleme planı)</t>
  </si>
  <si>
    <t>Sürekli (besleyici hızı)</t>
  </si>
  <si>
    <t>Yatak seviyesi / doluluk</t>
  </si>
  <si>
    <t>Fırın içindeki ergimiş banyo ve şarj yığınının seviye yüksekliği, doluluk oranı</t>
  </si>
  <si>
    <t>% veya m (seviye)</t>
  </si>
  <si>
    <r>
      <t xml:space="preserve">Fırının doluluk oranı, arkın ne kadar gömülü olduğunu ve termal kütleyi belirler. </t>
    </r>
    <r>
      <rPr>
        <b/>
        <sz val="11"/>
        <color theme="1"/>
        <rFont val="Calibri"/>
        <family val="2"/>
        <scheme val="minor"/>
      </rPr>
      <t>Düşük yatak seviyesi</t>
    </r>
    <r>
      <rPr>
        <sz val="11"/>
        <color theme="1"/>
        <rFont val="Calibri"/>
        <family val="2"/>
        <scheme val="minor"/>
      </rPr>
      <t xml:space="preserve"> (fırın yarı boş) durumda, ark büyük oranda açıkta kalır ve duvarlara radyasyonla fazla ısı gönderir – enerji kaybı artar. </t>
    </r>
    <r>
      <rPr>
        <b/>
        <sz val="11"/>
        <color theme="1"/>
        <rFont val="Calibri"/>
        <family val="2"/>
        <scheme val="minor"/>
      </rPr>
      <t>Aşırı yüksek doluluk</t>
    </r>
    <r>
      <rPr>
        <sz val="11"/>
        <color theme="1"/>
        <rFont val="Calibri"/>
        <family val="2"/>
        <scheme val="minor"/>
      </rPr>
      <t xml:space="preserve"> ise taşma riski yaratır ve verimli karıştırma olmaz, ayrıca elektrot-slag arası potansiyel fark düşer verim azalabilir. Optimal banyo/cüruf seviyesi, arkın makul ölçüde cürufla örtülmesini ve ısının banyoda tutulmasını sağlar. Bu seviye tipik olarak elektrot ucunun cüruf içinde gömülü kalacağı yüksekliktir. Düzgün yatak seviyesi ile enerji kayıpları minimize edilir (radyasyon kaybı düşer).</t>
    </r>
  </si>
  <si>
    <t>Operatör gözlemi / seviye tahmini</t>
  </si>
  <si>
    <t>Her heat (gözlemsel kayıt)</t>
  </si>
  <si>
    <r>
      <t>Elektrot durumu</t>
    </r>
    <r>
      <rPr>
        <sz val="11"/>
        <color theme="1"/>
        <rFont val="Calibri"/>
        <family val="2"/>
        <scheme val="minor"/>
      </rPr>
      <t xml:space="preserve"> (uç aşınması, boy, değişim sıklığı)</t>
    </r>
  </si>
  <si>
    <t>Grafit elektrot boyu ve uç şeklinin durumu, değişim zamanı</t>
  </si>
  <si>
    <r>
      <t xml:space="preserve">Elektrot tüketimi ve durumu dolaylı da olsa enerji tüketimine etki edebilir. Örneğin, elektrot ucu çok aşınmış ve boy kısalmışsa, ark uzunluğunu korumak için gerilimin artırılması gerekebilir (enerji dağılımı değişir). Elektrot değişimi sırasında fırın durur, bu da enerji kaybıdır (boşta soğuma). Özellikle DC fırınlarda tek elektrot kullanıldığı için, elektrot değişimi </t>
    </r>
    <r>
      <rPr>
        <b/>
        <sz val="11"/>
        <color theme="1"/>
        <rFont val="Calibri"/>
        <family val="2"/>
        <scheme val="minor"/>
      </rPr>
      <t>fırın üretkenliğini azaltarak</t>
    </r>
    <r>
      <rPr>
        <sz val="11"/>
        <color theme="1"/>
        <rFont val="Calibri"/>
        <family val="2"/>
        <scheme val="minor"/>
      </rPr>
      <t xml:space="preserve"> enerji verimliliğini düşürür. Bu nedenle elektrot kullanım ömrünü uzatmak (optimize akım yoğunluğu ile) dolaylı şekilde spesifik enerjiyi düşürür.</t>
    </r>
  </si>
  <si>
    <t>Bakım kayıtları</t>
  </si>
  <si>
    <t>Her elektrot değişimi</t>
  </si>
  <si>
    <t>Şarj başlangıç/bitiş zamanları</t>
  </si>
  <si>
    <t>Her şarj sırasında fırın kapağının açılması ve malzeme girişinden dolayı oluşan enerji kaybını ölçmek için gereklidir.</t>
  </si>
  <si>
    <t>Zaman damgası</t>
  </si>
  <si>
    <t>Kapak açıldığında radyasyonla ısı kaybı oluşur, şarj süresi uzadıkça toplam enerji tüketimi artar.</t>
  </si>
  <si>
    <t>Operatör / L2</t>
  </si>
  <si>
    <t>Power-on / Power-off olayları</t>
  </si>
  <si>
    <t>Enerji verilip kesildiği zamanları ve nedenlerini analiz ederek boşta geçen süredeki enerji kaybını tespit etmek için istenir.</t>
  </si>
  <si>
    <t>Duruşlar fırının sıcak kalmasını engeller, yeniden ısıtmak için ekstra enerji gerekir.</t>
  </si>
  <si>
    <t>PLC / Olay logları</t>
  </si>
  <si>
    <t>Tapping başlangıç/bitiş zamanları</t>
  </si>
  <si>
    <t>Döküm süresince metalin aşırı ısınmasını ve dolayısıyla enerji israfını önlemek için analiz edilir.</t>
  </si>
  <si>
    <t>Tapping gecikirse sıcak metal fırında uzun süre kalır ve enerji kaybı olur.</t>
  </si>
  <si>
    <t>L2 / Operatör</t>
  </si>
  <si>
    <t>Beklenmeyen duruşlar (trip, arıza)</t>
  </si>
  <si>
    <t>Plan dışı duruşların enerji tüketimine olan etkisini analiz etmek için gereklidir.</t>
  </si>
  <si>
    <t>Duruş süresince fırın soğur, tekrar ısıtmak için fazla enerji gerekir.</t>
  </si>
  <si>
    <t>Bakım logları / PLC</t>
  </si>
  <si>
    <t>Her olay</t>
  </si>
  <si>
    <t>Operatör setpoint değişiklikleri</t>
  </si>
  <si>
    <t>Operatör müdahalelerinin enerji tüketimine etkisini izlemek için istenir.</t>
  </si>
  <si>
    <t>Parametre değeri ve zaman</t>
  </si>
  <si>
    <t>Ani veya yanlış set değişimleri enerji verimliliğini azaltabilir.</t>
  </si>
  <si>
    <t>L2 / SCADA</t>
  </si>
  <si>
    <t>Her değişiklik</t>
  </si>
  <si>
    <t>Tag</t>
  </si>
  <si>
    <t>Set</t>
  </si>
  <si>
    <t>Detaylı Açıklama</t>
  </si>
  <si>
    <t xml:space="preserve">Set </t>
  </si>
  <si>
    <t>(gözlemsel)</t>
  </si>
  <si>
    <t xml:space="preserve"> (yapısal)</t>
  </si>
  <si>
    <t>Raw_Cr2o3_Percent</t>
  </si>
  <si>
    <t>Raw_Feo_Feo3_Percent</t>
  </si>
  <si>
    <t>Raw_Gang_Content</t>
  </si>
  <si>
    <t>Raw_Crfe_Ratıo</t>
  </si>
  <si>
    <t>Raw_Moısture_Percent</t>
  </si>
  <si>
    <t>Raw_Partıcle_Sıze_Dıst</t>
  </si>
  <si>
    <t>Raw_Preheat_Temp</t>
  </si>
  <si>
    <t>Raw_Pre_Reductıon_Degree</t>
  </si>
  <si>
    <t>Raw_Total_C_Ratıo</t>
  </si>
  <si>
    <t>Raw_Reductant_Type</t>
  </si>
  <si>
    <t>Raw_Flux_Amount</t>
  </si>
  <si>
    <t>Elec_Dc_Current</t>
  </si>
  <si>
    <t>Elec_Dc_Voltage</t>
  </si>
  <si>
    <t>Elec_Actıve_Power</t>
  </si>
  <si>
    <t>Elec_Reactıve_Power</t>
  </si>
  <si>
    <t>Elec_Power_Factor</t>
  </si>
  <si>
    <t>Elec_Power_Densıty</t>
  </si>
  <si>
    <t>Elec_Arc_Length_Impedance</t>
  </si>
  <si>
    <t>Elec_Arc_Stabılıty</t>
  </si>
  <si>
    <t>Elec_Tap_To_Tap_Tıme</t>
  </si>
  <si>
    <t>Elec_Power_On_Tıme</t>
  </si>
  <si>
    <t>Cool_Panel_Water_Flow</t>
  </si>
  <si>
    <t>Cool_Panel_Temp_In</t>
  </si>
  <si>
    <t>Cool_Panel_Temp_Out</t>
  </si>
  <si>
    <t>Cool_Roof_Water_Flow</t>
  </si>
  <si>
    <t>Cool_Roof_Temp_In_Out</t>
  </si>
  <si>
    <t>Cool_Refractory_Status</t>
  </si>
  <si>
    <t>Offgas_Temp</t>
  </si>
  <si>
    <t>Offgas_Flow</t>
  </si>
  <si>
    <t>Offgas_Composıtıon</t>
  </si>
  <si>
    <t>Offgas_Usage_Status</t>
  </si>
  <si>
    <t>Slag_Composıtıon</t>
  </si>
  <si>
    <t>Slag_Basıcıty_Ratıo</t>
  </si>
  <si>
    <t>Slag_To_Metal_Ratıo</t>
  </si>
  <si>
    <t>Metal_Tappıng_Temp</t>
  </si>
  <si>
    <t>Metal_Composıtıon</t>
  </si>
  <si>
    <t>Bath_Carbon_Content</t>
  </si>
  <si>
    <t>Slag_Foamıng_Index</t>
  </si>
  <si>
    <t>Furnace_Type</t>
  </si>
  <si>
    <t>Furnace_Internal_Pressure</t>
  </si>
  <si>
    <t>Furnace_Chargıng_Mode</t>
  </si>
  <si>
    <t>Furnace_Bath_Level</t>
  </si>
  <si>
    <t>Electrode_Status</t>
  </si>
  <si>
    <t>Charge_Start_End_Tıme</t>
  </si>
  <si>
    <t>Power_On_Off_Events</t>
  </si>
  <si>
    <t>Tap_Start_End_Tıme</t>
  </si>
  <si>
    <t>Unplanned_Downtıme</t>
  </si>
  <si>
    <t>Setpoınt_Changes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</si>
</sst>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0"/>
      <color theme="1"/>
      <name val="ABBvoice"/>
      <family val="2"/>
    </font>
    <font>
      <sz val="10"/>
      <color theme="1"/>
      <name val="ABBvoice"/>
      <family val="2"/>
    </font>
  </fonts>
  <fills count="4">
    <fill>
      <patternFill patternType="none"/>
    </fill>
    <fill>
      <patternFill patternType="gray125"/>
    </fill>
    <fill>
      <patternFill patternType="solid">
        <fgColor rgb="FF00B0F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3" fillId="0" borderId="0" xfId="0" applyFont="1"/>
    <xf numFmtId="0" fontId="2" fillId="2" borderId="1" xfId="0" applyFont="1" applyFill="1" applyBorder="1" applyAlignment="1">
      <alignment horizontal="center" vertical="center" wrapText="1"/>
    </xf>
    <xf numFmtId="0" fontId="2" fillId="0" borderId="1" xfId="0" applyFont="1" applyBorder="1" applyAlignment="1">
      <alignment vertical="center" wrapText="1"/>
    </xf>
    <xf numFmtId="0" fontId="3" fillId="0" borderId="1" xfId="0" applyFont="1" applyBorder="1" applyAlignment="1">
      <alignment vertical="center" wrapText="1"/>
    </xf>
    <xf numFmtId="0" fontId="2" fillId="2" borderId="1" xfId="0" applyFont="1" applyFill="1" applyBorder="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1" xfId="0" applyFont="1" applyBorder="1" applyAlignment="1">
      <alignment vertical="center" wrapText="1"/>
    </xf>
    <xf numFmtId="0" fontId="3"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89A96-EC01-4414-90D1-604A567B27F4}">
  <dimension ref="A1:G29"/>
  <sheetViews>
    <sheetView topLeftCell="A10" workbookViewId="0">
      <selection activeCell="B15" sqref="B15"/>
    </sheetView>
  </sheetViews>
  <sheetFormatPr defaultRowHeight="13.8" x14ac:dyDescent="0.3"/>
  <cols>
    <col min="1" max="1" width="22.21875" style="1" customWidth="1"/>
    <col min="2" max="2" width="19" style="1" customWidth="1"/>
    <col min="3" max="4" width="20.6640625" style="1" customWidth="1"/>
    <col min="5" max="5" width="66.77734375" style="1" customWidth="1"/>
    <col min="6" max="6" width="23.44140625" style="1" customWidth="1"/>
    <col min="7" max="7" width="26.21875" style="1" customWidth="1"/>
    <col min="8" max="16384" width="8.88671875" style="1"/>
  </cols>
  <sheetData>
    <row r="1" spans="1:7" x14ac:dyDescent="0.3">
      <c r="A1" s="5" t="s">
        <v>254</v>
      </c>
      <c r="B1" s="5" t="s">
        <v>0</v>
      </c>
      <c r="C1" s="5" t="s">
        <v>26</v>
      </c>
      <c r="D1" s="5" t="s">
        <v>255</v>
      </c>
      <c r="E1" s="5" t="s">
        <v>256</v>
      </c>
      <c r="F1" s="2" t="s">
        <v>1</v>
      </c>
      <c r="G1" s="2" t="s">
        <v>2</v>
      </c>
    </row>
    <row r="2" spans="1:7" ht="41.4" x14ac:dyDescent="0.3">
      <c r="A2" s="8" t="s">
        <v>260</v>
      </c>
      <c r="B2" s="3" t="s">
        <v>3</v>
      </c>
      <c r="C2" s="4" t="s">
        <v>27</v>
      </c>
      <c r="D2" s="9" t="s">
        <v>13</v>
      </c>
      <c r="E2" s="4" t="s">
        <v>28</v>
      </c>
      <c r="F2" s="4" t="s">
        <v>29</v>
      </c>
      <c r="G2" s="4" t="s">
        <v>30</v>
      </c>
    </row>
    <row r="3" spans="1:7" ht="82.8" x14ac:dyDescent="0.3">
      <c r="A3" s="8" t="s">
        <v>261</v>
      </c>
      <c r="B3" s="3" t="s">
        <v>31</v>
      </c>
      <c r="C3" s="4" t="s">
        <v>32</v>
      </c>
      <c r="D3" s="9" t="s">
        <v>13</v>
      </c>
      <c r="E3" s="4" t="s">
        <v>33</v>
      </c>
      <c r="F3" s="4" t="s">
        <v>29</v>
      </c>
      <c r="G3" s="4" t="s">
        <v>30</v>
      </c>
    </row>
    <row r="4" spans="1:7" ht="82.8" x14ac:dyDescent="0.3">
      <c r="A4" s="8" t="s">
        <v>262</v>
      </c>
      <c r="B4" s="3" t="s">
        <v>34</v>
      </c>
      <c r="C4" s="4" t="s">
        <v>35</v>
      </c>
      <c r="D4" s="9" t="s">
        <v>36</v>
      </c>
      <c r="E4" s="4" t="s">
        <v>117</v>
      </c>
      <c r="F4" s="4" t="s">
        <v>29</v>
      </c>
      <c r="G4" s="4" t="s">
        <v>30</v>
      </c>
    </row>
    <row r="5" spans="1:7" ht="96.6" x14ac:dyDescent="0.3">
      <c r="A5" s="8" t="s">
        <v>263</v>
      </c>
      <c r="B5" s="3" t="s">
        <v>4</v>
      </c>
      <c r="C5" s="4" t="s">
        <v>37</v>
      </c>
      <c r="D5" s="9" t="s">
        <v>38</v>
      </c>
      <c r="E5" s="4" t="s">
        <v>39</v>
      </c>
      <c r="F5" s="4" t="s">
        <v>29</v>
      </c>
      <c r="G5" s="4" t="s">
        <v>40</v>
      </c>
    </row>
    <row r="6" spans="1:7" ht="82.8" x14ac:dyDescent="0.3">
      <c r="A6" s="8" t="s">
        <v>264</v>
      </c>
      <c r="B6" s="3" t="s">
        <v>41</v>
      </c>
      <c r="C6" s="4" t="s">
        <v>42</v>
      </c>
      <c r="D6" s="9" t="s">
        <v>43</v>
      </c>
      <c r="E6" s="4" t="s">
        <v>118</v>
      </c>
      <c r="F6" s="4" t="s">
        <v>44</v>
      </c>
      <c r="G6" s="4" t="s">
        <v>45</v>
      </c>
    </row>
    <row r="7" spans="1:7" ht="69" x14ac:dyDescent="0.3">
      <c r="A7" s="8" t="s">
        <v>265</v>
      </c>
      <c r="B7" s="3" t="s">
        <v>46</v>
      </c>
      <c r="C7" s="4" t="s">
        <v>47</v>
      </c>
      <c r="D7" s="9" t="s">
        <v>48</v>
      </c>
      <c r="E7" s="4" t="s">
        <v>119</v>
      </c>
      <c r="F7" s="4" t="s">
        <v>49</v>
      </c>
      <c r="G7" s="4" t="s">
        <v>50</v>
      </c>
    </row>
    <row r="8" spans="1:7" ht="82.8" x14ac:dyDescent="0.3">
      <c r="A8" s="8" t="s">
        <v>266</v>
      </c>
      <c r="B8" s="3" t="s">
        <v>51</v>
      </c>
      <c r="C8" s="4" t="s">
        <v>120</v>
      </c>
      <c r="D8" s="9" t="s">
        <v>18</v>
      </c>
      <c r="E8" s="4" t="s">
        <v>121</v>
      </c>
      <c r="F8" s="4" t="s">
        <v>52</v>
      </c>
      <c r="G8" s="4" t="s">
        <v>53</v>
      </c>
    </row>
    <row r="9" spans="1:7" ht="82.8" x14ac:dyDescent="0.3">
      <c r="A9" s="8" t="s">
        <v>267</v>
      </c>
      <c r="B9" s="3" t="s">
        <v>54</v>
      </c>
      <c r="C9" s="4" t="s">
        <v>122</v>
      </c>
      <c r="D9" s="9" t="s">
        <v>55</v>
      </c>
      <c r="E9" s="4" t="s">
        <v>123</v>
      </c>
      <c r="F9" s="4" t="s">
        <v>56</v>
      </c>
      <c r="G9" s="4" t="s">
        <v>57</v>
      </c>
    </row>
    <row r="10" spans="1:7" ht="124.2" x14ac:dyDescent="0.3">
      <c r="A10" s="8" t="s">
        <v>268</v>
      </c>
      <c r="B10" s="3" t="s">
        <v>96</v>
      </c>
      <c r="C10" s="4" t="s">
        <v>58</v>
      </c>
      <c r="D10" s="9" t="s">
        <v>59</v>
      </c>
      <c r="E10" s="4" t="s">
        <v>124</v>
      </c>
      <c r="F10" s="4" t="s">
        <v>60</v>
      </c>
      <c r="G10" s="4" t="s">
        <v>45</v>
      </c>
    </row>
    <row r="11" spans="1:7" ht="96.6" x14ac:dyDescent="0.3">
      <c r="A11" s="8" t="s">
        <v>269</v>
      </c>
      <c r="B11" s="3" t="s">
        <v>61</v>
      </c>
      <c r="C11" s="4" t="s">
        <v>62</v>
      </c>
      <c r="D11" s="9"/>
      <c r="E11" s="4" t="s">
        <v>125</v>
      </c>
      <c r="F11" s="4" t="s">
        <v>63</v>
      </c>
      <c r="G11" s="4" t="s">
        <v>64</v>
      </c>
    </row>
    <row r="12" spans="1:7" ht="110.4" x14ac:dyDescent="0.3">
      <c r="A12" s="8" t="s">
        <v>270</v>
      </c>
      <c r="B12" s="3" t="s">
        <v>65</v>
      </c>
      <c r="C12" s="4" t="s">
        <v>66</v>
      </c>
      <c r="D12" s="9" t="s">
        <v>67</v>
      </c>
      <c r="E12" s="4" t="s">
        <v>126</v>
      </c>
      <c r="F12" s="4" t="s">
        <v>68</v>
      </c>
      <c r="G12" s="4" t="s">
        <v>69</v>
      </c>
    </row>
    <row r="15" spans="1:7" x14ac:dyDescent="0.3">
      <c r="B15" s="1" t="str" cm="1">
        <f t="array" ref="B15">_xlfn.TEXTJOIN("_",TRUE,_xlfn.MAP(_xlfn.TEXTSPLIT(A2,"_"),_xlfn.LAMBDA(_xlpm.x,UPPER(LEFT(_xlpm.x,1)) &amp; LOWER(MID(_xlpm.x,2,999)))))</f>
        <v>Raw_Cr2o3_Percent</v>
      </c>
    </row>
    <row r="16" spans="1:7" x14ac:dyDescent="0.3">
      <c r="B16" s="1" t="str" cm="1">
        <f t="array" ref="B16">_xlfn.TEXTJOIN("_",TRUE,_xlfn.MAP(_xlfn.TEXTSPLIT(A3,"_"),_xlfn.LAMBDA(_xlpm.x,UPPER(LEFT(_xlpm.x,1)) &amp; LOWER(MID(_xlpm.x,2,999)))))</f>
        <v>Raw_Feo_Feo3_Percent</v>
      </c>
    </row>
    <row r="17" spans="2:5" x14ac:dyDescent="0.3">
      <c r="B17" s="1" t="str" cm="1">
        <f t="array" ref="B17">_xlfn.TEXTJOIN("_",TRUE,_xlfn.MAP(_xlfn.TEXTSPLIT(A4,"_"),_xlfn.LAMBDA(_xlpm.x,UPPER(LEFT(_xlpm.x,1)) &amp; LOWER(MID(_xlpm.x,2,999)))))</f>
        <v>Raw_Gang_Content</v>
      </c>
    </row>
    <row r="18" spans="2:5" ht="14.4" x14ac:dyDescent="0.3">
      <c r="B18" s="1" t="str" cm="1">
        <f t="array" ref="B18">_xlfn.TEXTJOIN("_",TRUE,_xlfn.MAP(_xlfn.TEXTSPLIT(A5,"_"),_xlfn.LAMBDA(_xlpm.x,UPPER(LEFT(_xlpm.x,1)) &amp; LOWER(MID(_xlpm.x,2,999)))))</f>
        <v>Raw_Crfe_Ratıo</v>
      </c>
      <c r="E18" s="6"/>
    </row>
    <row r="19" spans="2:5" ht="14.4" x14ac:dyDescent="0.3">
      <c r="B19" s="1" t="str" cm="1">
        <f t="array" ref="B19">_xlfn.TEXTJOIN("_",TRUE,_xlfn.MAP(_xlfn.TEXTSPLIT(A6,"_"),_xlfn.LAMBDA(_xlpm.x,UPPER(LEFT(_xlpm.x,1)) &amp; LOWER(MID(_xlpm.x,2,999)))))</f>
        <v>Raw_Moısture_Percent</v>
      </c>
      <c r="E19" s="7"/>
    </row>
    <row r="20" spans="2:5" ht="14.4" x14ac:dyDescent="0.3">
      <c r="B20" s="1" t="str" cm="1">
        <f t="array" ref="B20">_xlfn.TEXTJOIN("_",TRUE,_xlfn.MAP(_xlfn.TEXTSPLIT(A7,"_"),_xlfn.LAMBDA(_xlpm.x,UPPER(LEFT(_xlpm.x,1)) &amp; LOWER(MID(_xlpm.x,2,999)))))</f>
        <v>Raw_Partıcle_Sıze_Dıst</v>
      </c>
      <c r="E20" s="7"/>
    </row>
    <row r="21" spans="2:5" ht="14.4" x14ac:dyDescent="0.3">
      <c r="B21" s="1" t="str" cm="1">
        <f t="array" ref="B21">_xlfn.TEXTJOIN("_",TRUE,_xlfn.MAP(_xlfn.TEXTSPLIT(A8,"_"),_xlfn.LAMBDA(_xlpm.x,UPPER(LEFT(_xlpm.x,1)) &amp; LOWER(MID(_xlpm.x,2,999)))))</f>
        <v>Raw_Preheat_Temp</v>
      </c>
      <c r="E21" s="7"/>
    </row>
    <row r="22" spans="2:5" ht="14.4" x14ac:dyDescent="0.3">
      <c r="B22" s="1" t="str" cm="1">
        <f t="array" ref="B22">_xlfn.TEXTJOIN("_",TRUE,_xlfn.MAP(_xlfn.TEXTSPLIT(A9,"_"),_xlfn.LAMBDA(_xlpm.x,UPPER(LEFT(_xlpm.x,1)) &amp; LOWER(MID(_xlpm.x,2,999)))))</f>
        <v>Raw_Pre_Reductıon_Degree</v>
      </c>
      <c r="E22" s="7"/>
    </row>
    <row r="23" spans="2:5" ht="14.4" x14ac:dyDescent="0.3">
      <c r="B23" s="1" t="str" cm="1">
        <f t="array" ref="B23">_xlfn.TEXTJOIN("_",TRUE,_xlfn.MAP(_xlfn.TEXTSPLIT(A10,"_"),_xlfn.LAMBDA(_xlpm.x,UPPER(LEFT(_xlpm.x,1)) &amp; LOWER(MID(_xlpm.x,2,999)))))</f>
        <v>Raw_Total_C_Ratıo</v>
      </c>
      <c r="E23" s="7"/>
    </row>
    <row r="24" spans="2:5" ht="14.4" x14ac:dyDescent="0.3">
      <c r="B24" s="1" t="str" cm="1">
        <f t="array" ref="B24">_xlfn.TEXTJOIN("_",TRUE,_xlfn.MAP(_xlfn.TEXTSPLIT(A11,"_"),_xlfn.LAMBDA(_xlpm.x,UPPER(LEFT(_xlpm.x,1)) &amp; LOWER(MID(_xlpm.x,2,999)))))</f>
        <v>Raw_Reductant_Type</v>
      </c>
      <c r="E24" s="7"/>
    </row>
    <row r="25" spans="2:5" ht="14.4" x14ac:dyDescent="0.3">
      <c r="B25" s="1" t="str" cm="1">
        <f t="array" ref="B25">_xlfn.TEXTJOIN("_",TRUE,_xlfn.MAP(_xlfn.TEXTSPLIT(A12,"_"),_xlfn.LAMBDA(_xlpm.x,UPPER(LEFT(_xlpm.x,1)) &amp; LOWER(MID(_xlpm.x,2,999)))))</f>
        <v>Raw_Flux_Amount</v>
      </c>
      <c r="E25" s="7"/>
    </row>
    <row r="26" spans="2:5" ht="14.4" x14ac:dyDescent="0.3">
      <c r="E26" s="7"/>
    </row>
    <row r="27" spans="2:5" ht="14.4" x14ac:dyDescent="0.3">
      <c r="E27" s="7"/>
    </row>
    <row r="28" spans="2:5" ht="14.4" x14ac:dyDescent="0.3">
      <c r="E28" s="7"/>
    </row>
    <row r="29" spans="2:5" ht="14.4" x14ac:dyDescent="0.3">
      <c r="E29"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88792-8579-4931-A31C-41F27F03DC86}">
  <dimension ref="A1:G29"/>
  <sheetViews>
    <sheetView workbookViewId="0">
      <selection activeCell="A12" sqref="A12:XFD12"/>
    </sheetView>
  </sheetViews>
  <sheetFormatPr defaultRowHeight="13.8" x14ac:dyDescent="0.3"/>
  <cols>
    <col min="1" max="1" width="24.21875" style="1" customWidth="1"/>
    <col min="2" max="2" width="19" style="1" customWidth="1"/>
    <col min="3" max="4" width="20.6640625" style="1" customWidth="1"/>
    <col min="5" max="5" width="66.77734375" style="1" customWidth="1"/>
    <col min="6" max="6" width="23.44140625" style="1" customWidth="1"/>
    <col min="7" max="7" width="26.21875" style="1" customWidth="1"/>
    <col min="8" max="16384" width="8.88671875" style="1"/>
  </cols>
  <sheetData>
    <row r="1" spans="1:7" x14ac:dyDescent="0.3">
      <c r="A1" s="5" t="s">
        <v>254</v>
      </c>
      <c r="B1" s="5" t="s">
        <v>0</v>
      </c>
      <c r="C1" s="5" t="s">
        <v>26</v>
      </c>
      <c r="D1" s="5" t="s">
        <v>255</v>
      </c>
      <c r="E1" s="5" t="s">
        <v>256</v>
      </c>
      <c r="F1" s="2" t="s">
        <v>1</v>
      </c>
      <c r="G1" s="2" t="s">
        <v>2</v>
      </c>
    </row>
    <row r="2" spans="1:7" ht="82.8" x14ac:dyDescent="0.3">
      <c r="A2" s="8" t="s">
        <v>271</v>
      </c>
      <c r="B2" s="3" t="s">
        <v>5</v>
      </c>
      <c r="C2" s="4" t="s">
        <v>127</v>
      </c>
      <c r="D2" s="9" t="s">
        <v>14</v>
      </c>
      <c r="E2" s="4" t="s">
        <v>128</v>
      </c>
      <c r="F2" s="4" t="s">
        <v>20</v>
      </c>
      <c r="G2" s="4" t="s">
        <v>70</v>
      </c>
    </row>
    <row r="3" spans="1:7" ht="96.6" x14ac:dyDescent="0.3">
      <c r="A3" s="8" t="s">
        <v>272</v>
      </c>
      <c r="B3" s="3" t="s">
        <v>6</v>
      </c>
      <c r="C3" s="4" t="s">
        <v>129</v>
      </c>
      <c r="D3" s="9" t="s">
        <v>15</v>
      </c>
      <c r="E3" s="4" t="s">
        <v>130</v>
      </c>
      <c r="F3" s="4" t="s">
        <v>20</v>
      </c>
      <c r="G3" s="4" t="s">
        <v>71</v>
      </c>
    </row>
    <row r="4" spans="1:7" ht="110.4" x14ac:dyDescent="0.3">
      <c r="A4" s="8" t="s">
        <v>273</v>
      </c>
      <c r="B4" s="3" t="s">
        <v>7</v>
      </c>
      <c r="C4" s="4" t="s">
        <v>131</v>
      </c>
      <c r="D4" s="9" t="s">
        <v>16</v>
      </c>
      <c r="E4" s="4" t="s">
        <v>97</v>
      </c>
      <c r="F4" s="4" t="s">
        <v>72</v>
      </c>
      <c r="G4" s="4" t="s">
        <v>73</v>
      </c>
    </row>
    <row r="5" spans="1:7" ht="138" x14ac:dyDescent="0.3">
      <c r="A5" s="8" t="s">
        <v>274</v>
      </c>
      <c r="B5" s="3" t="s">
        <v>8</v>
      </c>
      <c r="C5" s="4" t="s">
        <v>132</v>
      </c>
      <c r="D5" s="9" t="s">
        <v>17</v>
      </c>
      <c r="E5" s="4" t="s">
        <v>133</v>
      </c>
      <c r="F5" s="4" t="s">
        <v>21</v>
      </c>
      <c r="G5" s="4" t="s">
        <v>74</v>
      </c>
    </row>
    <row r="6" spans="1:7" ht="96.6" x14ac:dyDescent="0.3">
      <c r="A6" s="8" t="s">
        <v>275</v>
      </c>
      <c r="B6" s="3" t="s">
        <v>75</v>
      </c>
      <c r="C6" s="4" t="s">
        <v>76</v>
      </c>
      <c r="D6" s="9"/>
      <c r="E6" s="4" t="s">
        <v>134</v>
      </c>
      <c r="F6" s="4" t="s">
        <v>21</v>
      </c>
      <c r="G6" s="4" t="s">
        <v>74</v>
      </c>
    </row>
    <row r="7" spans="1:7" ht="110.4" x14ac:dyDescent="0.3">
      <c r="A7" s="8" t="s">
        <v>276</v>
      </c>
      <c r="B7" s="3" t="s">
        <v>77</v>
      </c>
      <c r="C7" s="4" t="s">
        <v>135</v>
      </c>
      <c r="D7" s="9" t="s">
        <v>78</v>
      </c>
      <c r="E7" s="4" t="s">
        <v>136</v>
      </c>
      <c r="F7" s="4" t="s">
        <v>79</v>
      </c>
      <c r="G7" s="4" t="s">
        <v>80</v>
      </c>
    </row>
    <row r="8" spans="1:7" ht="124.2" x14ac:dyDescent="0.3">
      <c r="A8" s="8" t="s">
        <v>277</v>
      </c>
      <c r="B8" s="3" t="s">
        <v>81</v>
      </c>
      <c r="C8" s="4" t="s">
        <v>82</v>
      </c>
      <c r="D8" s="9" t="s">
        <v>83</v>
      </c>
      <c r="E8" s="4" t="s">
        <v>137</v>
      </c>
      <c r="F8" s="4" t="s">
        <v>84</v>
      </c>
      <c r="G8" s="4" t="s">
        <v>71</v>
      </c>
    </row>
    <row r="9" spans="1:7" ht="96.6" x14ac:dyDescent="0.3">
      <c r="A9" s="8" t="s">
        <v>278</v>
      </c>
      <c r="B9" s="3" t="s">
        <v>85</v>
      </c>
      <c r="C9" s="4" t="s">
        <v>86</v>
      </c>
      <c r="D9" s="9" t="s">
        <v>38</v>
      </c>
      <c r="E9" s="4" t="s">
        <v>138</v>
      </c>
      <c r="F9" s="4" t="s">
        <v>87</v>
      </c>
      <c r="G9" s="4" t="s">
        <v>88</v>
      </c>
    </row>
    <row r="10" spans="1:7" ht="96.6" x14ac:dyDescent="0.3">
      <c r="A10" s="8" t="s">
        <v>279</v>
      </c>
      <c r="B10" s="3" t="s">
        <v>12</v>
      </c>
      <c r="C10" s="4" t="s">
        <v>89</v>
      </c>
      <c r="D10" s="9" t="s">
        <v>90</v>
      </c>
      <c r="E10" s="4" t="s">
        <v>98</v>
      </c>
      <c r="F10" s="4" t="s">
        <v>91</v>
      </c>
      <c r="G10" s="4" t="s">
        <v>92</v>
      </c>
    </row>
    <row r="11" spans="1:7" ht="124.2" x14ac:dyDescent="0.3">
      <c r="A11" s="8" t="s">
        <v>280</v>
      </c>
      <c r="B11" s="3" t="s">
        <v>93</v>
      </c>
      <c r="C11" s="4" t="s">
        <v>139</v>
      </c>
      <c r="D11" s="9" t="s">
        <v>90</v>
      </c>
      <c r="E11" s="4" t="s">
        <v>140</v>
      </c>
      <c r="F11" s="4" t="s">
        <v>94</v>
      </c>
      <c r="G11" s="4" t="s">
        <v>95</v>
      </c>
    </row>
    <row r="12" spans="1:7" ht="14.4" x14ac:dyDescent="0.3">
      <c r="A12" s="8"/>
      <c r="B12" s="3"/>
      <c r="C12" s="4"/>
      <c r="D12" s="9"/>
      <c r="E12" s="4"/>
      <c r="F12" s="4"/>
      <c r="G12" s="4"/>
    </row>
    <row r="18" spans="5:5" ht="14.4" x14ac:dyDescent="0.3">
      <c r="E18" s="6"/>
    </row>
    <row r="19" spans="5:5" ht="14.4" x14ac:dyDescent="0.3">
      <c r="E19" s="7"/>
    </row>
    <row r="20" spans="5:5" ht="14.4" x14ac:dyDescent="0.3">
      <c r="E20" s="7"/>
    </row>
    <row r="21" spans="5:5" ht="14.4" x14ac:dyDescent="0.3">
      <c r="E21" s="7"/>
    </row>
    <row r="22" spans="5:5" ht="14.4" x14ac:dyDescent="0.3">
      <c r="E22" s="7"/>
    </row>
    <row r="23" spans="5:5" ht="14.4" x14ac:dyDescent="0.3">
      <c r="E23" s="7"/>
    </row>
    <row r="24" spans="5:5" ht="14.4" x14ac:dyDescent="0.3">
      <c r="E24" s="7"/>
    </row>
    <row r="25" spans="5:5" ht="14.4" x14ac:dyDescent="0.3">
      <c r="E25" s="7"/>
    </row>
    <row r="26" spans="5:5" ht="14.4" x14ac:dyDescent="0.3">
      <c r="E26" s="7"/>
    </row>
    <row r="27" spans="5:5" ht="14.4" x14ac:dyDescent="0.3">
      <c r="E27" s="7"/>
    </row>
    <row r="28" spans="5:5" ht="14.4" x14ac:dyDescent="0.3">
      <c r="E28" s="7"/>
    </row>
    <row r="29" spans="5:5" ht="14.4" x14ac:dyDescent="0.3">
      <c r="E29"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886CF-176B-493D-AD85-E9BE6B7D4DA5}">
  <dimension ref="A1:G28"/>
  <sheetViews>
    <sheetView topLeftCell="A9" workbookViewId="0">
      <selection activeCell="D25" sqref="D25"/>
    </sheetView>
  </sheetViews>
  <sheetFormatPr defaultRowHeight="13.8" x14ac:dyDescent="0.3"/>
  <cols>
    <col min="1" max="1" width="22.5546875" style="1" customWidth="1"/>
    <col min="2" max="2" width="19" style="1" customWidth="1"/>
    <col min="3" max="4" width="20.6640625" style="1" customWidth="1"/>
    <col min="5" max="5" width="66.77734375" style="1" customWidth="1"/>
    <col min="6" max="6" width="23.44140625" style="1" customWidth="1"/>
    <col min="7" max="7" width="26.21875" style="1" customWidth="1"/>
    <col min="8" max="16384" width="8.88671875" style="1"/>
  </cols>
  <sheetData>
    <row r="1" spans="1:7" x14ac:dyDescent="0.3">
      <c r="A1" s="5" t="s">
        <v>254</v>
      </c>
      <c r="B1" s="5" t="s">
        <v>0</v>
      </c>
      <c r="C1" s="5" t="s">
        <v>26</v>
      </c>
      <c r="D1" s="5" t="s">
        <v>255</v>
      </c>
      <c r="E1" s="5" t="s">
        <v>256</v>
      </c>
      <c r="F1" s="2" t="s">
        <v>1</v>
      </c>
      <c r="G1" s="2" t="s">
        <v>2</v>
      </c>
    </row>
    <row r="2" spans="1:7" ht="82.8" x14ac:dyDescent="0.3">
      <c r="A2" s="8" t="s">
        <v>281</v>
      </c>
      <c r="B2" s="3" t="s">
        <v>99</v>
      </c>
      <c r="C2" s="4" t="s">
        <v>141</v>
      </c>
      <c r="D2" s="9" t="s">
        <v>100</v>
      </c>
      <c r="E2" s="4" t="s">
        <v>142</v>
      </c>
      <c r="F2" s="4" t="s">
        <v>101</v>
      </c>
      <c r="G2" s="4" t="s">
        <v>102</v>
      </c>
    </row>
    <row r="3" spans="1:7" ht="110.4" x14ac:dyDescent="0.3">
      <c r="A3" s="8" t="s">
        <v>282</v>
      </c>
      <c r="B3" s="3" t="s">
        <v>103</v>
      </c>
      <c r="C3" s="4" t="s">
        <v>104</v>
      </c>
      <c r="D3" s="9" t="s">
        <v>18</v>
      </c>
      <c r="E3" s="4" t="s">
        <v>143</v>
      </c>
      <c r="F3" s="4" t="s">
        <v>105</v>
      </c>
      <c r="G3" s="4" t="s">
        <v>22</v>
      </c>
    </row>
    <row r="4" spans="1:7" ht="82.8" x14ac:dyDescent="0.3">
      <c r="A4" s="8" t="s">
        <v>283</v>
      </c>
      <c r="B4" s="3" t="s">
        <v>9</v>
      </c>
      <c r="C4" s="4" t="s">
        <v>106</v>
      </c>
      <c r="D4" s="9" t="s">
        <v>18</v>
      </c>
      <c r="E4" s="4" t="s">
        <v>144</v>
      </c>
      <c r="F4" s="4" t="s">
        <v>105</v>
      </c>
      <c r="G4" s="4" t="s">
        <v>22</v>
      </c>
    </row>
    <row r="5" spans="1:7" ht="70.8" x14ac:dyDescent="0.3">
      <c r="A5" s="8" t="s">
        <v>284</v>
      </c>
      <c r="B5" s="3" t="s">
        <v>107</v>
      </c>
      <c r="C5" s="4" t="s">
        <v>145</v>
      </c>
      <c r="D5" s="9" t="s">
        <v>100</v>
      </c>
      <c r="E5" s="4" t="s">
        <v>108</v>
      </c>
      <c r="F5" s="4" t="s">
        <v>101</v>
      </c>
      <c r="G5" s="4" t="s">
        <v>102</v>
      </c>
    </row>
    <row r="6" spans="1:7" ht="82.8" x14ac:dyDescent="0.3">
      <c r="A6" s="8" t="s">
        <v>285</v>
      </c>
      <c r="B6" s="3" t="s">
        <v>109</v>
      </c>
      <c r="C6" s="4" t="s">
        <v>110</v>
      </c>
      <c r="D6" s="9" t="s">
        <v>18</v>
      </c>
      <c r="E6" s="4" t="s">
        <v>146</v>
      </c>
      <c r="F6" s="4" t="s">
        <v>111</v>
      </c>
      <c r="G6" s="4" t="s">
        <v>22</v>
      </c>
    </row>
    <row r="7" spans="1:7" ht="82.8" x14ac:dyDescent="0.3">
      <c r="A7" s="8" t="s">
        <v>286</v>
      </c>
      <c r="B7" s="3" t="s">
        <v>112</v>
      </c>
      <c r="C7" s="4" t="s">
        <v>147</v>
      </c>
      <c r="D7" s="9" t="s">
        <v>113</v>
      </c>
      <c r="E7" s="4" t="s">
        <v>114</v>
      </c>
      <c r="F7" s="4" t="s">
        <v>115</v>
      </c>
      <c r="G7" s="4" t="s">
        <v>116</v>
      </c>
    </row>
    <row r="8" spans="1:7" ht="99.6" x14ac:dyDescent="0.3">
      <c r="A8" s="8" t="s">
        <v>287</v>
      </c>
      <c r="B8" s="3" t="s">
        <v>10</v>
      </c>
      <c r="C8" s="4" t="s">
        <v>148</v>
      </c>
      <c r="D8" s="9" t="s">
        <v>18</v>
      </c>
      <c r="E8" s="4" t="s">
        <v>149</v>
      </c>
      <c r="F8" s="4" t="s">
        <v>150</v>
      </c>
      <c r="G8" s="4" t="s">
        <v>151</v>
      </c>
    </row>
    <row r="9" spans="1:7" ht="100.2" x14ac:dyDescent="0.3">
      <c r="A9" s="8" t="s">
        <v>288</v>
      </c>
      <c r="B9" s="3" t="s">
        <v>152</v>
      </c>
      <c r="C9" s="4" t="s">
        <v>153</v>
      </c>
      <c r="D9" s="9" t="s">
        <v>154</v>
      </c>
      <c r="E9" s="4" t="s">
        <v>155</v>
      </c>
      <c r="F9" s="4" t="s">
        <v>156</v>
      </c>
      <c r="G9" s="4" t="s">
        <v>157</v>
      </c>
    </row>
    <row r="10" spans="1:7" ht="129" x14ac:dyDescent="0.3">
      <c r="A10" s="8" t="s">
        <v>289</v>
      </c>
      <c r="B10" s="3" t="s">
        <v>158</v>
      </c>
      <c r="C10" s="4" t="s">
        <v>159</v>
      </c>
      <c r="D10" s="9" t="s">
        <v>13</v>
      </c>
      <c r="E10" s="4" t="s">
        <v>160</v>
      </c>
      <c r="F10" s="4" t="s">
        <v>161</v>
      </c>
      <c r="G10" s="4" t="s">
        <v>162</v>
      </c>
    </row>
    <row r="11" spans="1:7" ht="124.2" x14ac:dyDescent="0.3">
      <c r="A11" s="8" t="s">
        <v>290</v>
      </c>
      <c r="B11" s="3" t="s">
        <v>163</v>
      </c>
      <c r="C11" s="4" t="s">
        <v>164</v>
      </c>
      <c r="D11" s="9"/>
      <c r="E11" s="4" t="s">
        <v>165</v>
      </c>
      <c r="F11" s="4" t="s">
        <v>166</v>
      </c>
      <c r="G11" s="4" t="s">
        <v>167</v>
      </c>
    </row>
    <row r="17" spans="5:5" ht="14.4" x14ac:dyDescent="0.3">
      <c r="E17" s="6"/>
    </row>
    <row r="18" spans="5:5" ht="14.4" x14ac:dyDescent="0.3">
      <c r="E18" s="7"/>
    </row>
    <row r="19" spans="5:5" ht="14.4" x14ac:dyDescent="0.3">
      <c r="E19" s="7"/>
    </row>
    <row r="20" spans="5:5" ht="14.4" x14ac:dyDescent="0.3">
      <c r="E20" s="7"/>
    </row>
    <row r="21" spans="5:5" ht="14.4" x14ac:dyDescent="0.3">
      <c r="E21" s="7"/>
    </row>
    <row r="22" spans="5:5" ht="14.4" x14ac:dyDescent="0.3">
      <c r="E22" s="7"/>
    </row>
    <row r="23" spans="5:5" ht="14.4" x14ac:dyDescent="0.3">
      <c r="E23" s="7"/>
    </row>
    <row r="24" spans="5:5" ht="14.4" x14ac:dyDescent="0.3">
      <c r="E24" s="7"/>
    </row>
    <row r="25" spans="5:5" ht="14.4" x14ac:dyDescent="0.3">
      <c r="E25" s="7"/>
    </row>
    <row r="26" spans="5:5" ht="14.4" x14ac:dyDescent="0.3">
      <c r="E26" s="7"/>
    </row>
    <row r="27" spans="5:5" ht="14.4" x14ac:dyDescent="0.3">
      <c r="E27" s="7"/>
    </row>
    <row r="28" spans="5:5" ht="14.4" x14ac:dyDescent="0.3">
      <c r="E28"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ED930-C064-4908-9671-9C2CD883906F}">
  <dimension ref="A1:G24"/>
  <sheetViews>
    <sheetView workbookViewId="0">
      <selection activeCell="D14" sqref="D14"/>
    </sheetView>
  </sheetViews>
  <sheetFormatPr defaultRowHeight="13.8" x14ac:dyDescent="0.3"/>
  <cols>
    <col min="1" max="1" width="20.21875" style="1" customWidth="1"/>
    <col min="2" max="2" width="19" style="1" customWidth="1"/>
    <col min="3" max="4" width="20.6640625" style="1" customWidth="1"/>
    <col min="5" max="5" width="66.77734375" style="1" customWidth="1"/>
    <col min="6" max="6" width="23.44140625" style="1" customWidth="1"/>
    <col min="7" max="7" width="26.21875" style="1" customWidth="1"/>
    <col min="8" max="16384" width="8.88671875" style="1"/>
  </cols>
  <sheetData>
    <row r="1" spans="1:7" x14ac:dyDescent="0.3">
      <c r="A1" s="5" t="s">
        <v>254</v>
      </c>
      <c r="B1" s="5" t="s">
        <v>0</v>
      </c>
      <c r="C1" s="5" t="s">
        <v>26</v>
      </c>
      <c r="D1" s="5" t="s">
        <v>257</v>
      </c>
      <c r="E1" s="5" t="s">
        <v>256</v>
      </c>
      <c r="F1" s="2" t="s">
        <v>1</v>
      </c>
      <c r="G1" s="2" t="s">
        <v>2</v>
      </c>
    </row>
    <row r="2" spans="1:7" ht="100.2" x14ac:dyDescent="0.3">
      <c r="A2" s="8" t="s">
        <v>291</v>
      </c>
      <c r="B2" s="3" t="s">
        <v>168</v>
      </c>
      <c r="C2" s="4" t="s">
        <v>169</v>
      </c>
      <c r="D2" s="9" t="s">
        <v>36</v>
      </c>
      <c r="E2" s="4" t="s">
        <v>170</v>
      </c>
      <c r="F2" s="4" t="s">
        <v>171</v>
      </c>
      <c r="G2" s="4" t="s">
        <v>172</v>
      </c>
    </row>
    <row r="3" spans="1:7" ht="114.6" x14ac:dyDescent="0.3">
      <c r="A3" s="8" t="s">
        <v>292</v>
      </c>
      <c r="B3" s="3" t="s">
        <v>173</v>
      </c>
      <c r="C3" s="4" t="s">
        <v>174</v>
      </c>
      <c r="D3" s="9"/>
      <c r="E3" s="4" t="s">
        <v>175</v>
      </c>
      <c r="F3" s="4" t="s">
        <v>176</v>
      </c>
      <c r="G3" s="4" t="s">
        <v>177</v>
      </c>
    </row>
    <row r="4" spans="1:7" ht="100.2" x14ac:dyDescent="0.3">
      <c r="A4" s="8" t="s">
        <v>293</v>
      </c>
      <c r="B4" s="3" t="s">
        <v>11</v>
      </c>
      <c r="C4" s="4" t="s">
        <v>178</v>
      </c>
      <c r="D4" s="9"/>
      <c r="E4" s="4" t="s">
        <v>179</v>
      </c>
      <c r="F4" s="4" t="s">
        <v>180</v>
      </c>
      <c r="G4" s="4" t="s">
        <v>181</v>
      </c>
    </row>
    <row r="5" spans="1:7" ht="100.2" x14ac:dyDescent="0.3">
      <c r="A5" s="8" t="s">
        <v>294</v>
      </c>
      <c r="B5" s="3" t="s">
        <v>182</v>
      </c>
      <c r="C5" s="4" t="s">
        <v>183</v>
      </c>
      <c r="D5" s="9" t="s">
        <v>18</v>
      </c>
      <c r="E5" s="4" t="s">
        <v>184</v>
      </c>
      <c r="F5" s="4" t="s">
        <v>185</v>
      </c>
      <c r="G5" s="4" t="s">
        <v>186</v>
      </c>
    </row>
    <row r="6" spans="1:7" ht="157.80000000000001" x14ac:dyDescent="0.3">
      <c r="A6" s="8" t="s">
        <v>295</v>
      </c>
      <c r="B6" s="3" t="s">
        <v>187</v>
      </c>
      <c r="C6" s="4" t="s">
        <v>188</v>
      </c>
      <c r="D6" s="9" t="s">
        <v>13</v>
      </c>
      <c r="E6" s="4" t="s">
        <v>189</v>
      </c>
      <c r="F6" s="4" t="s">
        <v>190</v>
      </c>
      <c r="G6" s="4" t="s">
        <v>191</v>
      </c>
    </row>
    <row r="7" spans="1:7" ht="124.2" x14ac:dyDescent="0.3">
      <c r="A7" s="8" t="s">
        <v>296</v>
      </c>
      <c r="B7" s="3" t="s">
        <v>192</v>
      </c>
      <c r="C7" s="4" t="s">
        <v>193</v>
      </c>
      <c r="D7" s="9" t="s">
        <v>194</v>
      </c>
      <c r="E7" s="4" t="s">
        <v>195</v>
      </c>
      <c r="F7" s="4" t="s">
        <v>196</v>
      </c>
      <c r="G7" s="4" t="s">
        <v>197</v>
      </c>
    </row>
    <row r="8" spans="1:7" ht="129" x14ac:dyDescent="0.3">
      <c r="A8" s="8" t="s">
        <v>297</v>
      </c>
      <c r="B8" s="3" t="s">
        <v>198</v>
      </c>
      <c r="C8" s="4" t="s">
        <v>199</v>
      </c>
      <c r="D8" s="9" t="s">
        <v>258</v>
      </c>
      <c r="E8" s="4" t="s">
        <v>200</v>
      </c>
      <c r="F8" s="4" t="s">
        <v>201</v>
      </c>
      <c r="G8" s="4" t="s">
        <v>202</v>
      </c>
    </row>
    <row r="13" spans="1:7" ht="14.4" x14ac:dyDescent="0.3">
      <c r="E13" s="6"/>
    </row>
    <row r="14" spans="1:7" ht="14.4" x14ac:dyDescent="0.3">
      <c r="E14" s="7"/>
    </row>
    <row r="15" spans="1:7" ht="14.4" x14ac:dyDescent="0.3">
      <c r="E15" s="7"/>
    </row>
    <row r="16" spans="1:7" ht="14.4" x14ac:dyDescent="0.3">
      <c r="E16" s="7"/>
    </row>
    <row r="17" spans="5:5" ht="14.4" x14ac:dyDescent="0.3">
      <c r="E17" s="7"/>
    </row>
    <row r="18" spans="5:5" ht="14.4" x14ac:dyDescent="0.3">
      <c r="E18" s="7"/>
    </row>
    <row r="19" spans="5:5" ht="14.4" x14ac:dyDescent="0.3">
      <c r="E19" s="7"/>
    </row>
    <row r="20" spans="5:5" ht="14.4" x14ac:dyDescent="0.3">
      <c r="E20" s="7"/>
    </row>
    <row r="21" spans="5:5" ht="14.4" x14ac:dyDescent="0.3">
      <c r="E21" s="7"/>
    </row>
    <row r="22" spans="5:5" ht="14.4" x14ac:dyDescent="0.3">
      <c r="E22" s="7"/>
    </row>
    <row r="23" spans="5:5" ht="14.4" x14ac:dyDescent="0.3">
      <c r="E23" s="7"/>
    </row>
    <row r="24" spans="5:5" ht="14.4" x14ac:dyDescent="0.3">
      <c r="E24" s="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DC2AA-EC72-4C5F-80B2-AC6EA5D72FA5}">
  <dimension ref="A1:G21"/>
  <sheetViews>
    <sheetView topLeftCell="A3" workbookViewId="0">
      <selection activeCell="B19" sqref="B19"/>
    </sheetView>
  </sheetViews>
  <sheetFormatPr defaultRowHeight="13.8" x14ac:dyDescent="0.3"/>
  <cols>
    <col min="1" max="1" width="29.21875" style="1" customWidth="1"/>
    <col min="2" max="2" width="19" style="1" customWidth="1"/>
    <col min="3" max="4" width="20.6640625" style="1" customWidth="1"/>
    <col min="5" max="5" width="66.77734375" style="1" customWidth="1"/>
    <col min="6" max="6" width="23.44140625" style="1" customWidth="1"/>
    <col min="7" max="7" width="26.21875" style="1" customWidth="1"/>
    <col min="8" max="16384" width="8.88671875" style="1"/>
  </cols>
  <sheetData>
    <row r="1" spans="1:7" x14ac:dyDescent="0.3">
      <c r="A1" s="5" t="s">
        <v>254</v>
      </c>
      <c r="B1" s="5" t="s">
        <v>0</v>
      </c>
      <c r="C1" s="5" t="s">
        <v>26</v>
      </c>
      <c r="D1" s="5" t="s">
        <v>257</v>
      </c>
      <c r="E1" s="5" t="s">
        <v>256</v>
      </c>
      <c r="F1" s="2" t="s">
        <v>1</v>
      </c>
      <c r="G1" s="2" t="s">
        <v>2</v>
      </c>
    </row>
    <row r="2" spans="1:7" ht="100.8" x14ac:dyDescent="0.3">
      <c r="A2" s="8" t="s">
        <v>298</v>
      </c>
      <c r="B2" s="3" t="s">
        <v>203</v>
      </c>
      <c r="C2" s="4" t="s">
        <v>204</v>
      </c>
      <c r="D2" s="9" t="s">
        <v>259</v>
      </c>
      <c r="E2" s="4" t="s">
        <v>205</v>
      </c>
      <c r="F2" s="4" t="s">
        <v>206</v>
      </c>
      <c r="G2" s="4" t="s">
        <v>207</v>
      </c>
    </row>
    <row r="3" spans="1:7" ht="115.2" x14ac:dyDescent="0.3">
      <c r="A3" s="8" t="s">
        <v>299</v>
      </c>
      <c r="B3" s="3" t="s">
        <v>208</v>
      </c>
      <c r="C3" s="4" t="s">
        <v>209</v>
      </c>
      <c r="D3" s="9" t="s">
        <v>210</v>
      </c>
      <c r="E3" s="4" t="s">
        <v>211</v>
      </c>
      <c r="F3" s="4" t="s">
        <v>212</v>
      </c>
      <c r="G3" s="4" t="s">
        <v>213</v>
      </c>
    </row>
    <row r="4" spans="1:7" ht="115.2" x14ac:dyDescent="0.3">
      <c r="A4" s="8" t="s">
        <v>300</v>
      </c>
      <c r="B4" s="3" t="s">
        <v>214</v>
      </c>
      <c r="C4" s="4" t="s">
        <v>215</v>
      </c>
      <c r="D4" s="9"/>
      <c r="E4" s="4" t="s">
        <v>216</v>
      </c>
      <c r="F4" s="4" t="s">
        <v>217</v>
      </c>
      <c r="G4" s="4" t="s">
        <v>218</v>
      </c>
    </row>
    <row r="5" spans="1:7" ht="114.6" x14ac:dyDescent="0.3">
      <c r="A5" s="8" t="s">
        <v>301</v>
      </c>
      <c r="B5" s="3" t="s">
        <v>219</v>
      </c>
      <c r="C5" s="4" t="s">
        <v>220</v>
      </c>
      <c r="D5" s="9" t="s">
        <v>221</v>
      </c>
      <c r="E5" s="4" t="s">
        <v>222</v>
      </c>
      <c r="F5" s="4" t="s">
        <v>223</v>
      </c>
      <c r="G5" s="4" t="s">
        <v>224</v>
      </c>
    </row>
    <row r="6" spans="1:7" ht="112.2" x14ac:dyDescent="0.3">
      <c r="A6" s="8" t="s">
        <v>302</v>
      </c>
      <c r="B6" s="3" t="s">
        <v>225</v>
      </c>
      <c r="C6" s="4" t="s">
        <v>226</v>
      </c>
      <c r="D6" s="9"/>
      <c r="E6" s="4" t="s">
        <v>227</v>
      </c>
      <c r="F6" s="4" t="s">
        <v>228</v>
      </c>
      <c r="G6" s="4" t="s">
        <v>229</v>
      </c>
    </row>
    <row r="10" spans="1:7" ht="14.4" x14ac:dyDescent="0.3">
      <c r="E10" s="6"/>
    </row>
    <row r="11" spans="1:7" ht="14.4" x14ac:dyDescent="0.3">
      <c r="E11" s="7"/>
    </row>
    <row r="12" spans="1:7" ht="14.4" x14ac:dyDescent="0.3">
      <c r="E12" s="7"/>
    </row>
    <row r="13" spans="1:7" ht="14.4" x14ac:dyDescent="0.3">
      <c r="E13" s="7"/>
    </row>
    <row r="14" spans="1:7" ht="14.4" x14ac:dyDescent="0.3">
      <c r="E14" s="7"/>
    </row>
    <row r="15" spans="1:7" ht="14.4" x14ac:dyDescent="0.3">
      <c r="E15" s="7"/>
    </row>
    <row r="16" spans="1:7" ht="14.4" x14ac:dyDescent="0.3">
      <c r="E16" s="7"/>
    </row>
    <row r="17" spans="5:5" ht="14.4" x14ac:dyDescent="0.3">
      <c r="E17" s="7"/>
    </row>
    <row r="18" spans="5:5" ht="14.4" x14ac:dyDescent="0.3">
      <c r="E18" s="7"/>
    </row>
    <row r="19" spans="5:5" ht="14.4" x14ac:dyDescent="0.3">
      <c r="E19" s="7"/>
    </row>
    <row r="20" spans="5:5" ht="14.4" x14ac:dyDescent="0.3">
      <c r="E20" s="7"/>
    </row>
    <row r="21" spans="5:5" ht="14.4" x14ac:dyDescent="0.3">
      <c r="E21"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B9384-E4C8-4E32-B738-06D01ECBFFBB}">
  <dimension ref="A1:G23"/>
  <sheetViews>
    <sheetView tabSelected="1" workbookViewId="0">
      <selection activeCell="C8" sqref="C8"/>
    </sheetView>
  </sheetViews>
  <sheetFormatPr defaultRowHeight="13.8" x14ac:dyDescent="0.3"/>
  <cols>
    <col min="1" max="1" width="23" style="1" customWidth="1"/>
    <col min="2" max="2" width="19" style="1" customWidth="1"/>
    <col min="3" max="4" width="20.6640625" style="1" customWidth="1"/>
    <col min="5" max="5" width="66.77734375" style="1" customWidth="1"/>
    <col min="6" max="6" width="23.44140625" style="1" customWidth="1"/>
    <col min="7" max="7" width="26.21875" style="1" customWidth="1"/>
    <col min="8" max="16384" width="8.88671875" style="1"/>
  </cols>
  <sheetData>
    <row r="1" spans="1:7" x14ac:dyDescent="0.3">
      <c r="A1" s="5" t="s">
        <v>254</v>
      </c>
      <c r="B1" s="5" t="s">
        <v>0</v>
      </c>
      <c r="C1" s="5" t="s">
        <v>26</v>
      </c>
      <c r="D1" s="5" t="s">
        <v>257</v>
      </c>
      <c r="E1" s="5" t="s">
        <v>256</v>
      </c>
      <c r="F1" s="2" t="s">
        <v>1</v>
      </c>
      <c r="G1" s="2" t="s">
        <v>2</v>
      </c>
    </row>
    <row r="2" spans="1:7" ht="82.8" x14ac:dyDescent="0.3">
      <c r="A2" s="8" t="s">
        <v>303</v>
      </c>
      <c r="B2" s="3" t="s">
        <v>230</v>
      </c>
      <c r="C2" s="4" t="s">
        <v>231</v>
      </c>
      <c r="D2" s="9" t="s">
        <v>232</v>
      </c>
      <c r="E2" s="4" t="s">
        <v>233</v>
      </c>
      <c r="F2" s="4" t="s">
        <v>234</v>
      </c>
      <c r="G2" s="4" t="s">
        <v>25</v>
      </c>
    </row>
    <row r="3" spans="1:7" ht="96.6" x14ac:dyDescent="0.3">
      <c r="A3" s="8" t="s">
        <v>304</v>
      </c>
      <c r="B3" s="3" t="s">
        <v>235</v>
      </c>
      <c r="C3" s="4" t="s">
        <v>236</v>
      </c>
      <c r="D3" s="9" t="s">
        <v>232</v>
      </c>
      <c r="E3" s="4" t="s">
        <v>237</v>
      </c>
      <c r="F3" s="4" t="s">
        <v>238</v>
      </c>
      <c r="G3" s="4" t="s">
        <v>24</v>
      </c>
    </row>
    <row r="4" spans="1:7" ht="82.8" x14ac:dyDescent="0.3">
      <c r="A4" s="8" t="s">
        <v>305</v>
      </c>
      <c r="B4" s="3" t="s">
        <v>239</v>
      </c>
      <c r="C4" s="4" t="s">
        <v>240</v>
      </c>
      <c r="D4" s="9" t="s">
        <v>232</v>
      </c>
      <c r="E4" s="4" t="s">
        <v>241</v>
      </c>
      <c r="F4" s="4" t="s">
        <v>242</v>
      </c>
      <c r="G4" s="4" t="s">
        <v>23</v>
      </c>
    </row>
    <row r="5" spans="1:7" ht="55.2" x14ac:dyDescent="0.3">
      <c r="A5" s="8" t="s">
        <v>306</v>
      </c>
      <c r="B5" s="3" t="s">
        <v>243</v>
      </c>
      <c r="C5" s="4" t="s">
        <v>244</v>
      </c>
      <c r="D5" s="9" t="s">
        <v>19</v>
      </c>
      <c r="E5" s="4" t="s">
        <v>245</v>
      </c>
      <c r="F5" s="4" t="s">
        <v>246</v>
      </c>
      <c r="G5" s="4" t="s">
        <v>247</v>
      </c>
    </row>
    <row r="6" spans="1:7" ht="55.2" x14ac:dyDescent="0.3">
      <c r="A6" s="8" t="s">
        <v>307</v>
      </c>
      <c r="B6" s="3" t="s">
        <v>248</v>
      </c>
      <c r="C6" s="4" t="s">
        <v>249</v>
      </c>
      <c r="D6" s="9" t="s">
        <v>250</v>
      </c>
      <c r="E6" s="4" t="s">
        <v>251</v>
      </c>
      <c r="F6" s="4" t="s">
        <v>252</v>
      </c>
      <c r="G6" s="4" t="s">
        <v>253</v>
      </c>
    </row>
    <row r="12" spans="1:7" ht="14.4" x14ac:dyDescent="0.3">
      <c r="E12" s="6"/>
    </row>
    <row r="13" spans="1:7" ht="14.4" x14ac:dyDescent="0.3">
      <c r="E13" s="7"/>
    </row>
    <row r="14" spans="1:7" ht="14.4" x14ac:dyDescent="0.3">
      <c r="E14" s="7"/>
    </row>
    <row r="15" spans="1:7" ht="14.4" x14ac:dyDescent="0.3">
      <c r="E15" s="7"/>
    </row>
    <row r="16" spans="1:7" ht="14.4" x14ac:dyDescent="0.3">
      <c r="E16" s="7"/>
    </row>
    <row r="17" spans="5:5" ht="14.4" x14ac:dyDescent="0.3">
      <c r="E17" s="7"/>
    </row>
    <row r="18" spans="5:5" ht="14.4" x14ac:dyDescent="0.3">
      <c r="E18" s="7"/>
    </row>
    <row r="19" spans="5:5" ht="14.4" x14ac:dyDescent="0.3">
      <c r="E19" s="7"/>
    </row>
    <row r="20" spans="5:5" ht="14.4" x14ac:dyDescent="0.3">
      <c r="E20" s="7"/>
    </row>
    <row r="21" spans="5:5" ht="14.4" x14ac:dyDescent="0.3">
      <c r="E21" s="7"/>
    </row>
    <row r="22" spans="5:5" ht="14.4" x14ac:dyDescent="0.3">
      <c r="E22" s="7"/>
    </row>
    <row r="23" spans="5:5" ht="14.4" x14ac:dyDescent="0.3">
      <c r="E23" s="7"/>
    </row>
  </sheetData>
  <pageMargins left="0.7" right="0.7" top="0.75" bottom="0.75" header="0.3" footer="0.3"/>
</worksheet>
</file>

<file path=docMetadata/LabelInfo.xml><?xml version="1.0" encoding="utf-8"?>
<clbl:labelList xmlns:clbl="http://schemas.microsoft.com/office/2020/mipLabelMetadata">
  <clbl:label id="{d792d246-d363-40e2-82bc-6f0655128b68}" enabled="1" method="Standard" siteId="{372ee9e0-9ce0-4033-a64a-c07073a91ecd}"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1.Hammadde ve Şarj Özellikleri</vt:lpstr>
      <vt:lpstr>2.Elektriksel Parametreler</vt:lpstr>
      <vt:lpstr>3.Termal Kayıplar ve Soğutma</vt:lpstr>
      <vt:lpstr>4.Cüruf, Metal Banyosu</vt:lpstr>
      <vt:lpstr>5.Fırın Tasarımı ve İşletme</vt:lpstr>
      <vt:lpstr>6.Operasyonel Veriler&amp;Zamanlama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Umit Arslan</cp:lastModifiedBy>
  <dcterms:created xsi:type="dcterms:W3CDTF">2025-11-28T11:53:41Z</dcterms:created>
  <dcterms:modified xsi:type="dcterms:W3CDTF">2025-11-28T16:59:42Z</dcterms:modified>
</cp:coreProperties>
</file>